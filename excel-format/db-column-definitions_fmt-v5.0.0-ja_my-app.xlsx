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124226"/>
  <mc:AlternateContent xmlns:mc="http://schemas.openxmlformats.org/markup-compatibility/2006">
    <mc:Choice Requires="x15">
      <x15ac:absPath xmlns:x15ac="http://schemas.microsoft.com/office/spreadsheetml/2010/11/ac" url="/Users/yosuke.tanaka/Desktop/development/git/ecuacion-tool-code-generator/excel-format/"/>
    </mc:Choice>
  </mc:AlternateContent>
  <xr:revisionPtr revIDLastSave="0" documentId="13_ncr:1_{4135ADFE-7A42-E941-8E95-03A8886BC4E5}" xr6:coauthVersionLast="47" xr6:coauthVersionMax="47" xr10:uidLastSave="{00000000-0000-0000-0000-000000000000}"/>
  <bookViews>
    <workbookView xWindow="0" yWindow="2280" windowWidth="28800" windowHeight="14820" tabRatio="853" activeTab="4" xr2:uid="{00000000-000D-0000-FFFF-FFFF00000000}"/>
  </bookViews>
  <sheets>
    <sheet name="dataTypeプルダウン項目" sheetId="1" state="hidden" r:id="rId1"/>
    <sheet name="dataType・データパターン一覧" sheetId="2" state="hidden" r:id="rId2"/>
    <sheet name="FK種類" sheetId="3" state="hidden" r:id="rId3"/>
    <sheet name="fmt変更履歴" sheetId="4" r:id="rId4"/>
    <sheet name="各種設定" sheetId="5" r:id="rId5"/>
    <sheet name="dataType定義" sheetId="6" r:id="rId6"/>
    <sheet name="enum定義" sheetId="7" r:id="rId7"/>
    <sheet name="DB項目定義" sheetId="8" r:id="rId8"/>
    <sheet name="DB共通項目定義" sheetId="9" r:id="rId9"/>
    <sheet name="テーブル一覧" sheetId="10" r:id="rId10"/>
  </sheets>
  <definedNames>
    <definedName name="_xlnm.Print_Area" localSheetId="7">DB項目定義!$A$1:$AA$5</definedName>
    <definedName name="一般">dataTypeプルダウン項目!$A$3:$A$16</definedName>
    <definedName name="固定フォーマット">dataTypeプルダウン項目!#REF!</definedName>
    <definedName name="日時">dataTypeプルダウン項目!#REF!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8" i="5" l="1"/>
  <c r="A21" i="5"/>
  <c r="A6" i="10" a="1"/>
  <c r="E3" i="10"/>
  <c r="D3" i="10"/>
  <c r="C3" i="10"/>
  <c r="B3" i="10"/>
  <c r="D8" i="9"/>
  <c r="D7" i="9"/>
  <c r="D6" i="9"/>
  <c r="AL3" i="9"/>
  <c r="AK3" i="9"/>
  <c r="AJ3" i="9"/>
  <c r="AI3" i="9"/>
  <c r="I4" i="7"/>
  <c r="H4" i="7"/>
  <c r="G4" i="7"/>
  <c r="F4" i="7"/>
  <c r="F10" i="6"/>
  <c r="F9" i="6"/>
  <c r="F8" i="6"/>
  <c r="T3" i="6"/>
  <c r="S3" i="6"/>
  <c r="R3" i="6"/>
  <c r="Q3" i="6"/>
  <c r="A27" i="5"/>
  <c r="A26" i="5"/>
  <c r="A25" i="5"/>
  <c r="A24" i="5"/>
  <c r="A23" i="5"/>
  <c r="A22" i="5"/>
  <c r="A20" i="5"/>
  <c r="A19" i="5"/>
  <c r="A18" i="5"/>
  <c r="A17" i="5"/>
  <c r="A16" i="5"/>
  <c r="A15" i="5"/>
  <c r="A14" i="5"/>
  <c r="A13" i="5"/>
  <c r="A12" i="5"/>
  <c r="A11" i="5"/>
  <c r="A10" i="5"/>
  <c r="A9" i="5"/>
  <c r="A8" i="5"/>
  <c r="A7" i="5"/>
  <c r="A6" i="5"/>
  <c r="D9" i="8"/>
  <c r="D8" i="8"/>
  <c r="D7" i="8"/>
  <c r="D6" i="8"/>
  <c r="AL3" i="8"/>
  <c r="AK3" i="8"/>
  <c r="AJ3" i="8"/>
  <c r="AI3"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5" authorId="0" shapeId="0" xr:uid="{00000000-0006-0000-0500-000001000000}">
      <text>
        <r>
          <rPr>
            <sz val="11"/>
            <color theme="1"/>
            <rFont val="Calibri"/>
            <family val="2"/>
            <scheme val="minor"/>
          </rPr>
          <t>short、int、Long、float, double, BigInteger、BigDecimalの場合
※beanValidationの仕様としては、byte型も上記2つのannotationで使用可能だが、codegeneratorとしては除外している。必要なら追加</t>
        </r>
      </text>
    </comment>
    <comment ref="L7" authorId="0" shapeId="0" xr:uid="{00000000-0006-0000-0500-000003000000}">
      <text>
        <r>
          <rPr>
            <sz val="11"/>
            <color theme="1"/>
            <rFont val="Calibri"/>
            <family val="2"/>
            <scheme val="minor"/>
          </rPr>
          <t>BigDecimalの場合のみ記載可。</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<sst xmlns="http://schemas.openxmlformats.org/spreadsheetml/2006/main" count="477" uniqueCount="289">
  <si>
    <t>DB項目定義</t>
  </si>
  <si>
    <t>デフォルト言語</t>
  </si>
  <si>
    <t>追加言語1</t>
  </si>
  <si>
    <t>追加言語2</t>
  </si>
  <si>
    <t>追加言語3</t>
  </si>
  <si>
    <t>テーブル名</t>
  </si>
  <si>
    <t>カラム名</t>
  </si>
  <si>
    <t>dataType</t>
  </si>
  <si>
    <t>dataType存在確認</t>
  </si>
  <si>
    <t>javaのみ</t>
  </si>
  <si>
    <t xml:space="preserve">Surrogate key </t>
  </si>
  <si>
    <t>natural key (unique key)</t>
  </si>
  <si>
    <t>nullable</t>
  </si>
  <si>
    <t>自動採番</t>
  </si>
  <si>
    <t>強制採番</t>
  </si>
  <si>
    <t>自動更新</t>
  </si>
  <si>
    <t>強制更新</t>
  </si>
  <si>
    <t>グループ識別項目</t>
  </si>
  <si>
    <t>SPRING監査</t>
  </si>
  <si>
    <t>関連：種類</t>
  </si>
  <si>
    <t>関連：direction</t>
  </si>
  <si>
    <t>関連：参照元変数名</t>
  </si>
  <si>
    <t>関連：参照先テーブル</t>
  </si>
  <si>
    <t>関連：参照先カラム</t>
  </si>
  <si>
    <t>関連：参照先変数名</t>
  </si>
  <si>
    <t>関連：eager</t>
  </si>
  <si>
    <t>index1</t>
  </si>
  <si>
    <t>index2</t>
  </si>
  <si>
    <t>index3</t>
  </si>
  <si>
    <t>index4</t>
  </si>
  <si>
    <t>index5</t>
  </si>
  <si>
    <t>index6</t>
  </si>
  <si>
    <t>index7</t>
  </si>
  <si>
    <t>index8</t>
  </si>
  <si>
    <t>index9</t>
  </si>
  <si>
    <t>index10</t>
  </si>
  <si>
    <t>備考</t>
  </si>
  <si>
    <t>カラム表示名（デフォルト言語）</t>
  </si>
  <si>
    <t>カラム表示名（追加言語1）</t>
  </si>
  <si>
    <t>カラム表示名（追加言語2）</t>
  </si>
  <si>
    <t>カラム表示名（追加言語3）</t>
  </si>
  <si>
    <t>dataType定義</t>
  </si>
  <si>
    <t>一般</t>
  </si>
  <si>
    <t>型</t>
  </si>
  <si>
    <t>FRAMEWORK_KIND</t>
  </si>
  <si>
    <t>全半角（制限なし）</t>
  </si>
  <si>
    <t>STRING</t>
  </si>
  <si>
    <t>Spring Framework</t>
  </si>
  <si>
    <t>全角</t>
  </si>
  <si>
    <t>INTEGER</t>
  </si>
  <si>
    <t>半角</t>
  </si>
  <si>
    <t>SHORT</t>
  </si>
  <si>
    <t>半角数字</t>
  </si>
  <si>
    <t>LONG</t>
  </si>
  <si>
    <t>英大文字</t>
  </si>
  <si>
    <t>FLOAT</t>
  </si>
  <si>
    <t>英大文字＋_</t>
  </si>
  <si>
    <t>DOUBLE</t>
  </si>
  <si>
    <t>英小文字</t>
  </si>
  <si>
    <t>BIG_INTEGER</t>
  </si>
  <si>
    <t>英小文字＋_</t>
  </si>
  <si>
    <t>BIG_DECIMAL</t>
  </si>
  <si>
    <t>半角数字＋英大文字</t>
  </si>
  <si>
    <t>YEAR_MONTH</t>
  </si>
  <si>
    <t>半角数字＋英大文字＋_</t>
  </si>
  <si>
    <t>DATE</t>
  </si>
  <si>
    <t>半角数字＋英小文字</t>
  </si>
  <si>
    <t>TIME</t>
  </si>
  <si>
    <t>半角数字＋英小文字＋_</t>
  </si>
  <si>
    <t>DATE_TIME</t>
  </si>
  <si>
    <t>半角英字</t>
  </si>
  <si>
    <t>TIMESTAMP</t>
  </si>
  <si>
    <t>半角英字＋_</t>
  </si>
  <si>
    <t>ENUM</t>
  </si>
  <si>
    <t>BOOLEAN</t>
  </si>
  <si>
    <t>※"jakarta EE" assumued but not ready</t>
  </si>
  <si>
    <t>データパターン</t>
  </si>
  <si>
    <t>enumValue</t>
  </si>
  <si>
    <t>REG_EX_ALL</t>
  </si>
  <si>
    <t>REG_EX_HAN</t>
  </si>
  <si>
    <t>REG_EX_HAN_NUM</t>
  </si>
  <si>
    <t>REG_EX_HAN_UC</t>
  </si>
  <si>
    <t>REG_EX_HAN_UC_US</t>
  </si>
  <si>
    <t>REG_EX_HAN_LC</t>
  </si>
  <si>
    <t>REG_EX_HAN_LC_US</t>
  </si>
  <si>
    <t>REG_EX_HAN_NUM_UC</t>
  </si>
  <si>
    <t>REG_EX_HAN_NUM_UC_US</t>
  </si>
  <si>
    <t>REG_EX_HAN_NUM_LC</t>
  </si>
  <si>
    <t>REG_EX_HAN_NUM_LC_US</t>
  </si>
  <si>
    <t>REG_EX_HAN_NUM_UC_LC</t>
  </si>
  <si>
    <t>REG_EX_HAN_NUM_UC_LC_US</t>
  </si>
  <si>
    <t>REG_EX_ZEN</t>
  </si>
  <si>
    <t>FK種類（日本語）</t>
  </si>
  <si>
    <t>FK種類</t>
  </si>
  <si>
    <t>方向</t>
  </si>
  <si>
    <t>参照元1・参照先1（一方向）</t>
  </si>
  <si>
    <t>OneToOne</t>
  </si>
  <si>
    <t>unidirectional</t>
  </si>
  <si>
    <t>参照元1・参照先1（双方向）</t>
  </si>
  <si>
    <t>bidirectional</t>
  </si>
  <si>
    <t>参照元N・参照先1（一方向）</t>
  </si>
  <si>
    <t>ManyToOne</t>
  </si>
  <si>
    <t>※以下は処理速度を鑑みて、FWでは対応していない</t>
  </si>
  <si>
    <t>参照元1・参照先N（一方向）</t>
  </si>
  <si>
    <t>参照元N・参照先1／参照元1・参照先N（双方向）</t>
  </si>
  <si>
    <t>参照元M・参照先N（一方向）</t>
  </si>
  <si>
    <t>参照元M・参照先N（双方向）</t>
  </si>
  <si>
    <t>フォーマット変更履歴</t>
  </si>
  <si>
    <t>日付</t>
  </si>
  <si>
    <t>バージョン</t>
  </si>
  <si>
    <t>修正事項</t>
  </si>
  <si>
    <t>修正者</t>
  </si>
  <si>
    <t>v1.00</t>
  </si>
  <si>
    <t>初版</t>
  </si>
  <si>
    <t>田中</t>
  </si>
  <si>
    <t>v1.01</t>
  </si>
  <si>
    <t>カラム表示名をxmlに追加</t>
  </si>
  <si>
    <t>v1.02</t>
  </si>
  <si>
    <t>dataTypeをソースに反映するように変更</t>
  </si>
  <si>
    <t>v1.03</t>
  </si>
  <si>
    <t>・DB、class項目定義に「dataType存在確認」列を追加
・DB共通項目定義を追加</t>
  </si>
  <si>
    <t>v1.04</t>
  </si>
  <si>
    <t>excel関数追加など利便性向上（出力結果に変更なし）</t>
  </si>
  <si>
    <t>v2.00</t>
  </si>
  <si>
    <t>●ast-framework-common:v2.00.00に同期して対応
(Enum)
・Deprecated、javadocコメントの追加対応
・Frameworkで保持するenumを整備
(DataType)
・Deprecated、javadocコメントの追加対応
・DataTypeでstringの場合に「データ種類」と「文字種別」の定義があいまいだったため形式を変更
・浮動小数点、BigDecimal、BOOL型に対応
・Stringの場合に正規表現を使用できるよう追加
・ロジックによるチェックも可能なように変更
(DataType参照)
・「DataType参照」シートを追加し、既にframeworkの中などに存在しているDataTypeを使用することを可能とする
（Db, DbCommon, Class）
項目に変更なし。
※「備考」列を、javadocとして使用する案もあるかと思い途中まで作ったが、使わなさそうなので現時点ではcodeGenerator側には実装していない。
　XML定義側（xsd）にはあえて残しているが、このまま使用して支障なし。</t>
  </si>
  <si>
    <t>v2.01</t>
  </si>
  <si>
    <t>・列の幅変更
・class項目定義のxml対応づけがおかしかったので修正</t>
  </si>
  <si>
    <t>v2.02</t>
  </si>
  <si>
    <t>・dataTypeInfoのxml対応付けがおかしかったので修正</t>
  </si>
  <si>
    <t>v2.03</t>
  </si>
  <si>
    <t>・「DBテーブル定義」シートを追加
・「共通定義」シートを追加
・basePackageを共通定義シートに集約したので、各シートのbasePackageを削除</t>
  </si>
  <si>
    <t>v2.04</t>
  </si>
  <si>
    <t>・dataTypeが、エクセルの日本語からgetEnumFromNameする仕組みだったが、これだとWindows-31jとUTF-8が共存できないため、getEnumFromNameはアルファベットの文字から行うよう仕様変更</t>
  </si>
  <si>
    <t>v2.05</t>
  </si>
  <si>
    <t>・複数言語対応（enum、DB項目）
・「projectType」をシステム共通定義に追加</t>
  </si>
  <si>
    <t>v2.06</t>
  </si>
  <si>
    <t>・「dateType参照定義」というシート名になっていたので、「dataType参照定義」に変更
・DB項目定義シートで、dataTypeの存在確認のための関数が「○」の文字列になってしまっていたので修正
　（出力xmlの変更なし）</t>
  </si>
  <si>
    <t>v3.00</t>
  </si>
  <si>
    <t>●ast-framework-common:v3.00.00に同期して対応
（処理をjavaEEベースとすることで、独自処理を減らす）
・システム共通定義に「禁則文字」を追加
・dataType定義で、beanValidationの標準のvalidatorの使用のために各種仕様変更
・固定化されていた削除フラグなどの柔軟化を図るため、query項目定義シートを新規追加</t>
  </si>
  <si>
    <t>v3.01</t>
  </si>
  <si>
    <t>・queryInfoに「グループ指定なし」のbaseセットをもう一つ作る処理を追加。
　これは、複数グループを横断でみる必要があるシステム管理者用の画面を作るにあたり、セキュリティ的にわかりやすくするため別システムとするのに必要な措置
・上記に合わせ、productsディレクトリの構造を、products/systemname/xxx/　のようにxxxを追加。xxxは、通常は"normal"、グループ指定なしは"no-group-query"。</t>
  </si>
  <si>
    <t>v3.02</t>
  </si>
  <si>
    <t>・選択可能な型が、code-generator側で対応しているものよりも少なかったので追加
・Indexの仕様を追加</t>
  </si>
  <si>
    <t>v3.03</t>
  </si>
  <si>
    <t>・Byte型に対応
・@Versionでの楽観的排他制御カラムに対応
・強制採番・強制更新がxmlに取り込まれていなかったのを修正
・DB項目定義の自動採番・自動更新の説明をより詳しく記載
・daoのみグループ指定なしのセットを作る　をquery定義に追加</t>
  </si>
  <si>
    <t>v3.04</t>
  </si>
  <si>
    <t>・「DBテーブルFK定義」シートを追加
・論理削除、グループ指定の記述がわかりにくかったので、queryInfoはやめて、「その他定義」として別途定義。Query定義は廃止
・DataTypeの型を、INT→INTEGERに変更（共通化のため）</t>
  </si>
  <si>
    <t>v3.05</t>
  </si>
  <si>
    <t>・Surrogate Keyを導入。
※直接的な理由は、hibernateだと、@EmbeddedIdの中の@GeneratedValueが無視され、Sequenceが自動生成されない、ということだが、join系でもSurrogate Keyがあるほうが何かとORMをよりよく使えるので。
・日付時刻系の型にtimezoneを導入。具体的にはdataTypeにtimezoneあり／なしを持たせ、ありの場合はZonedDateTime, なしの場合はLocalDateTimeとした。
また、アリの場合はDB側もtimezone付きのtimestampで生成されるよう修正</t>
  </si>
  <si>
    <t>v4.0.0</t>
  </si>
  <si>
    <t>xmlを介さずexcelのまま読み込ませる方式を追加。
code-generatorとしては既存のxmlでの読み込みは継続しつつ、excelがあればexcelを優先で読み込む形とする</t>
  </si>
  <si>
    <t>v4.1.0</t>
  </si>
  <si>
    <t>表記上の変更・追加
・各種設定：TEMPLATE_VERSION を追加
・各種設定：GROUPINGのNEEDS_NO_GROUPING_MODULE、DIVIDES_DAO_MODULEにspringに関するコメント記載追加
・DB項目定義、DB共通項目定義：PK　-&gt; PK・UK に記載変更
・DB項目定義、DB共通項目定義：「（削除候補）1」→「グループ識別項目」、「（削除候補）2」→「SPRING監査」に変更
・【説明】DB項目定義 シートを追加し説明を記載
・readme シートを追加</t>
  </si>
  <si>
    <t>v4.1.1</t>
  </si>
  <si>
    <t>表記上の文言変更</t>
  </si>
  <si>
    <t>v4.2.0</t>
  </si>
  <si>
    <t>■バージョン情報
・対応code-generator version: 10.1
・前minorバージョンからのformat移行が必要な場合
　- DataTypeの型でDT_DATE, DT_TIMEを使用する場合
　※enum定義、DB項目定義、DB共通項目定義の右上にある使用言語欄の参照先が間違えているが、現在は実質問題が出ていないはずなので放置で良い
■変更内容
・DataTypeに選択可能な型として、DATE, TIMEを追加。
・readmeの記述を変更
・enum定義、DB項目定義、DB共通項目定義の右上にある使用言語欄の参照先の間違いを修正</t>
  </si>
  <si>
    <t>v4.2.1</t>
  </si>
  <si>
    <t>・readmeシートの文言更新
・「DB項目定義」シートの「dataType存在確認」の関数が壊れていたので修正</t>
  </si>
  <si>
    <t>v4.3.0</t>
  </si>
  <si>
    <t>■バージョン情報
・対応code-generator version: 10.5
・前minorバージョンからのformat移行が必要な場合
　- 全パターン（DB項目定義の項目追加をしており10.5以降のcode-generatorと4.2以前のDB定義書formatではエラーになる）
■変更内容
・DB項目定義、DB共通項目定義に、「関連：xxx」という5つの列を追加
・DB項目定義、DB共通項目定義の各セルの入力規則設定を整備
・DB項目定義、DB共通項目定義のPKで、これまでは非推奨ながら従来型PK方式も残していたが削除。併せて【説明】DB項目定義 の記述も変更</t>
  </si>
  <si>
    <t>v4.3.1</t>
  </si>
  <si>
    <t>・不要であることが確定したため「（未使用）DBテーブル関連定義」のシートを削除
・「old_言語設定」、「old_システム共通定義」、「old_その他定義」シートを削除
・「各種設定」シートの説明欄にコメント追加
・「【説明】DB項目定義」シートの関連の箇所にコメント追加</t>
  </si>
  <si>
    <t>v4.4.0</t>
  </si>
  <si>
    <t>■バージョン情報
・対応code-generator version: 10.15
・前minorバージョンからのformat移行が必要な場合
　- 全パターン（各種設定に項目追加しており存在しない場合エラー）
■変更内容
関連における追加変更。
・「各種設定」に「TABLE_NAMES_WITHOUT_GROUPING」の項目を追加
・DB項目定義、DB共通項目定義に、関連：参照元変数名の列を追加
・「dataType定義」の型列に「DATE_TIME」を追加（redmine#290）</t>
  </si>
  <si>
    <t>v4.5.0</t>
  </si>
  <si>
    <t>■バージョン情報
・対応code-generator version: 10.23以降
・前minorバージョンからのformat移行が必要な場合
　-移行不要（項目が減るので、旧フォーマットでもその項目は無視されるだけ）
■変更内容
・「各種設定」シートの「PROJECT_KIND」を削除（#397）</t>
  </si>
  <si>
    <t>v4.6.0</t>
  </si>
  <si>
    <t>■バージョン情報
・対応code-generator version: 10.24以降
・前minorバージョンからのformat移行が必要な場合
　-　全パターン（DB項目定義の項目追加のため）
■変更内容
・DB項目定義、DB共通項目定義に、関連：参照先変数名の列を追加</t>
  </si>
  <si>
    <t>v4.7.0</t>
  </si>
  <si>
    <t>■バージョン情報
・対応code-generator version: 12.1以降
・前minorバージョンからのformat移行が必要な場合
　-　各種設定の「USES_UTIL_JPA」を使用したい場合のみ（default未使用なので、前バージョンだと未使用扱い）
■変更内容
・DB項目定義、DB共通項目定義に、関連：参照先変数名の列を追加</t>
  </si>
  <si>
    <t>v4.8.0</t>
  </si>
  <si>
    <t>■バージョン情報
・対応code-generator version: 13.1以降
・前minorバージョンからのformat移行が必要な場合
　-　必須（列追加・削除のため）
■変更内容
・enum定義、DB項目定義、DB共通項目定義に「javaのみ」の項目を追加
・【説明】DB項目定義 に「javaのみ」項目の説明を追加
・dataType定義, enum定義のdeprecated列を削除（プログラム側は、取り込み項目の削除のみ要実施）
・dataType定義のjavadoc列は「備考」、enum定義のjavadoc-class、javadoc-valueはそれぞれ「備考（class）」、「備考（value）」と名称変更し、javadocには反映なしとする　（javadocに載せる必然性がないため）</t>
  </si>
  <si>
    <t>v4.9.0</t>
  </si>
  <si>
    <t>■バージョン情報
・対応code-generator version: 14.1以降
・前minorバージョンからのformat移行が必要な場合
　-　必須（列追加のため）
■変更内容
・@Patternのエラーメッセージについて、「^[^\\/:\*\?\"&lt;&gt;\|]*$」のような正規表現をユーザに見せてもわからないため、それに代わる説明を表示する目的で、dataType定義に「パターン説明」欄を言語数分（4列分）追加
・「dataType定義（メッセージ）」シートを追加し、ValidationMessages.properties、ValidationMessagesWithItemNames.propertiesを作成するためのデータを登録（どのappでも書くことはほぼ同じなので、ここで一括管理しておく方が楽。本当に同じならbaseでなくlibに入れてしまいたいが、変更の可能性があること、.defaultをつけておければそうしてlibに置きたいがBeanValidation標準機能で読んでもらうためには.defaultをつけられないことからbaseで管理）
「dataType定義」シートで「禁則チェック除外」→「禁則文字チェック除外」にラベル変更
・「dataType定義」シートで「禁則文字チェック除外」列の位置変更
・「各種設定」シートで、禁足文字設定に対してそのエラーが出た際のパターン説明項目を追加。併せて並び順を変更</t>
  </si>
  <si>
    <t>v4.9.1</t>
  </si>
  <si>
    <t>各種表示文言修正（機能仕様変更なし）</t>
  </si>
  <si>
    <t>v4.10.0</t>
  </si>
  <si>
    <t>■バージョン情報
・対応code-generator version: 14.9以降
・前minorバージョンからのformat移行が必要な場合
　-「dataType定義」の「型」でYEAR_MONTHを使用する場合
■変更内容
・型にYEAR_MONTHを追加</t>
  </si>
  <si>
    <t>v4.11.0</t>
  </si>
  <si>
    <t>■バージョン情報
・対応code-generator version: 15.0.0-beta.3 以降
・前minorバージョンからのformat移行が必要な場合：必須
　（各種項目の増減・並び替えがあるため）
■変更内容
▼（全シート共通）
　・対象であることを表す「○」の記号について、似ているが別コードの「◯」も対象に追加
　・表示内容、説明文言など改善
▼「各種設定」シート
　・ヘッダ名：「分類説明」→「分類名」に変更
　・A列に「#」を追加
　・「必須」列を追加
　・「分類」・「項目」列を非表示に変更
　・「SYSTEM_COMMON」・「USES_UTIL_JPA」行を削除（ecuacion-util-jpa自体がなくなったため）
　・「SYSTEM_COMMON」・「USES_SPRING_NAMING_CONVENTION」行を削除（わかりにくいため常にspring方式を使用とする）
　・「LOGICAL_DELETE」・「METHOD_NAME」、「ADDITIONAL_PARAMS」を削除（未使用のため）
　・「GROUPING」・「NEEDS_NO_GROUPING_MODULE」行を削除（現在はこの機能でのグループ機能は使用していないため）
　・「GROUPING」・「DIVIDES_DAO_MODULE」（現在はこの機能でのグループ機能は使用していないため）
▼「dataType定義」シート
　・「パターン説明（...）」項目を「備考」の右に移動
▼「enum定義」シート
　・「dispName（デフォルト言語）」列を「備考」の右に移動
　・「dispName（...）」列のラベルを「表示名（...）」に変更
　・「javaのみ」列を「備考」列の左に移動</t>
  </si>
  <si>
    <t>（続き）</t>
  </si>
  <si>
    <t>▼「DB項目定義」・「DB共通項目定義」シート
　・「表示名（デフォルト言語）」列のラベルを「カラム表示名（デフォルト言語）」に変更
　・「カラム表示名（デフォルト言語）」列を「備考」列の右に移動
　・「表示名（追加言語x）」（x=1〜3）列のラベルを「カラム表示名（追加言語x）」に変更
　・「index&lt;x&gt;」の&lt;x&gt;の上限を3から10に変更。その分の列を追加
▼「DB共通項目定義」シート
　・「テーブル名」は空欄固定に変更
▼「テーブル一覧」シート
　・追加
▼「【説明】DB項目定義」シート
　・本エクセルからは削除（referenceに載せる形に変更）</t>
  </si>
  <si>
    <t>v5.0.0</t>
  </si>
  <si>
    <t>各種設定</t>
  </si>
  <si>
    <t>※「値」、「備考」列に記入。それ以外の列には触らないこと。「備考」は任意記載（システム影響なし）。</t>
  </si>
  <si>
    <t>#</t>
  </si>
  <si>
    <t>分類</t>
  </si>
  <si>
    <t>分類名</t>
  </si>
  <si>
    <t>項目</t>
  </si>
  <si>
    <t>説明</t>
  </si>
  <si>
    <t>必須</t>
  </si>
  <si>
    <t>値</t>
  </si>
  <si>
    <t>SYSTEM_COMMON</t>
  </si>
  <si>
    <t>システム共通</t>
  </si>
  <si>
    <t>TEMPLATE_VERSION</t>
  </si>
  <si>
    <t>本エクセルファイルのテンプレートのバージョン</t>
  </si>
  <si>
    <t>◯</t>
  </si>
  <si>
    <t>5.0.0</t>
  </si>
  <si>
    <t>SYSTEM_NAME</t>
  </si>
  <si>
    <t>システム名
※自動生成されたソースの親フォルダ名として使用</t>
  </si>
  <si>
    <t>BASE_PACKAGE</t>
  </si>
  <si>
    <t>packageの共通部分</t>
  </si>
  <si>
    <t>frameworkの種類
※指定した種類により生成されるコードが異なる</t>
  </si>
  <si>
    <t>CHARSET</t>
  </si>
  <si>
    <t>ソースコードの文字コード("UTF-8"推奨）</t>
  </si>
  <si>
    <t>LANG_DEFAULT</t>
  </si>
  <si>
    <t>デフォルト言語
※"en"などlocaleとして定義されている文字列を指定。en_US等も可能</t>
  </si>
  <si>
    <t>LANG_SUPPORT_01</t>
  </si>
  <si>
    <t>サポート言語1
※サポート言語は1, 2, 3の順序で入力。1が空欄、2が入力の状態等はエラー</t>
  </si>
  <si>
    <t>LANG_SUPPORT_02</t>
  </si>
  <si>
    <t>サポート言語2</t>
  </si>
  <si>
    <t>LANG_SUPPORT_03</t>
  </si>
  <si>
    <t>サポート言語3</t>
  </si>
  <si>
    <t>PROHIBITED_CHARS</t>
  </si>
  <si>
    <t>禁則文字</t>
  </si>
  <si>
    <t>PROHIBITED_CHARS_DESC_LANG_DEFAULT</t>
  </si>
  <si>
    <t>禁則文字パターン説明（デフォルト言語）
※「禁則文字」が空欄でない場合は必須</t>
  </si>
  <si>
    <t>PROHIBITED_CHARS_DESC_LANG_SUPPORT_01</t>
  </si>
  <si>
    <t>禁則文字パターン説明（追加言語1）
※「禁則文字」が空欄でない、かつ「サポート言語1」が空欄でない場合は必須</t>
  </si>
  <si>
    <t>PROHIBITED_CHARS_DESC_LANG_SUPPORT_02</t>
  </si>
  <si>
    <t>禁則文字パターン説明（追加言語2）
※「禁則文字」が空欄でない、かつ「サポート言語2」が空欄でない場合は必須</t>
  </si>
  <si>
    <t>PROHIBITED_CHARS_DESC_LANG_SUPPORT_03</t>
  </si>
  <si>
    <t>禁則文字パターン説明（追加言語3）
※「禁則文字」が空欄でない、かつ「サポート言語3」が空欄でない場合は必須</t>
  </si>
  <si>
    <t>LOGICAL_DELETE</t>
  </si>
  <si>
    <t>論理削除</t>
  </si>
  <si>
    <t>COLUMN_NAME</t>
  </si>
  <si>
    <t>論理削除を表す項目名
※論理削除項目を使用しない場合は、本項目を空欄にする。その場合、以降の分類名が「論理削除」の項目も全て空欄にする
※この名前を持つカラムは全てグループ指定項目とみなされるため、別の用途でこのカラム名を使うことがあるのであれば、名称の変更が必要
※実際に論理削除機能を使用するには、「DB項目定義」または「DB共通項目定義」で指定の項目名の項目を定義する必要がある</t>
  </si>
  <si>
    <t>DATA_TYPE_NAME</t>
  </si>
  <si>
    <t>DataType名
※本バージョンではBOOLEAN型のDataTypeのみ選択可</t>
  </si>
  <si>
    <t>DEFAULT_VALUE</t>
  </si>
  <si>
    <t>初期値（論理削除前）
※DataTypeがBOOLEAN型の場合はtrue/falseを指定</t>
  </si>
  <si>
    <t>UPDATE_VALUE</t>
  </si>
  <si>
    <t>更新値（論理削除後）
※記述方法は「DEFAULT_VALUE」を参照</t>
  </si>
  <si>
    <t>GROUPING</t>
  </si>
  <si>
    <t>他グループを閲覧不可とする設定</t>
  </si>
  <si>
    <t>カラム名
※グループ指定を使用しない場合は、本項目を空欄にする。（その場合、以降も全て空欄にする）
※この名前を持つカラムは全てグループ指定項目とみなされるため、別の用途でこのカラム名を使うことがあるのであれば、名称の変更が必要
※実際に論理削除機能を使用するには、「DB項目定義」または「DB共通項目定義」で指定の項目名の項目を定義する必要がある
※この名前とは別名で、グループ指定をする項目を指定することが可能（グループ自体を表すEntityにて使用）。DB項目定義の「グループ識別項目」にチェックを入れることで可</t>
  </si>
  <si>
    <t>DataType名</t>
  </si>
  <si>
    <t>TABLE_NAMES_WITHOUT_GROUPING</t>
  </si>
  <si>
    <t>意図しない設定漏れを防ぐため、グループ設定なしのテーブルを明示
※複数ある場合は"TABLE_1,TABLE_2"のようにCSVで記載。</t>
  </si>
  <si>
    <t>OPTIMISTIC_LOCKING</t>
  </si>
  <si>
    <t>楽観的排他制御</t>
  </si>
  <si>
    <t>カラム名
※グループ指定を使用しない場合は、本項目を空欄にする。（その場合、以降も全て空欄にする）
※この名前を持つカラムは全て楽観的排他制御用項目とみなされるため、別の用途でこのカラム名を使うことがあるのであれば、名称の変更が必要</t>
  </si>
  <si>
    <t>※DataType名のプレフィックスは「DT_」固定</t>
  </si>
  <si>
    <t>共通</t>
  </si>
  <si>
    <t>STRINGの場合の入力項目</t>
  </si>
  <si>
    <t>数値系の場合の入力項目</t>
  </si>
  <si>
    <t>Enumの
場合</t>
  </si>
  <si>
    <t>日時の
場合</t>
  </si>
  <si>
    <t>任意</t>
  </si>
  <si>
    <t>長さ最小</t>
  </si>
  <si>
    <t>長さ最大</t>
  </si>
  <si>
    <t>データパターン（日本語）</t>
  </si>
  <si>
    <t>禁則文字チェック除外</t>
  </si>
  <si>
    <t>正規表現</t>
  </si>
  <si>
    <t>最小値</t>
  </si>
  <si>
    <t>最大値</t>
  </si>
  <si>
    <t>整数部桁数</t>
  </si>
  <si>
    <t>小数部桁数</t>
  </si>
  <si>
    <t>コードの長さ</t>
  </si>
  <si>
    <t>timezoneなし</t>
  </si>
  <si>
    <t>パターン説明（デフォルト言語）</t>
  </si>
  <si>
    <t>パターン説明（追加言語1）</t>
  </si>
  <si>
    <t>パターン説明（追加言語2）</t>
  </si>
  <si>
    <t>パターン説明（追加言語）</t>
  </si>
  <si>
    <t>enum定義</t>
  </si>
  <si>
    <t>※Enumクラス名は、DataType名を元に自動生成される。</t>
  </si>
  <si>
    <t>　　例）DT_TRANSACTION_STATUS　→　Enumクラス名：TransactionStatusEnum</t>
  </si>
  <si>
    <t>code</t>
  </si>
  <si>
    <t>varName</t>
  </si>
  <si>
    <t>表示名（デフォルト言語）</t>
  </si>
  <si>
    <t>表示名（追加言語1）</t>
  </si>
  <si>
    <t>表示名（追加言語2）</t>
  </si>
  <si>
    <t>表示名（追加言語3）</t>
  </si>
  <si>
    <t>DB共通項目定義</t>
  </si>
  <si>
    <t>テーブル一覧</t>
  </si>
  <si>
    <t>テーブル表示名（デフォルト言語）</t>
  </si>
  <si>
    <t>テーブル表示名（追加言語1）</t>
  </si>
  <si>
    <t>テーブル表示名（追加言語2）</t>
  </si>
  <si>
    <t>テーブル表示名（追加言語3）</t>
  </si>
  <si>
    <t>VERSION</t>
  </si>
  <si>
    <t>UTF-8</t>
  </si>
  <si>
    <t>ja</t>
  </si>
  <si>
    <t>関連：参照元変数itemNameKeyClass</t>
  </si>
  <si>
    <t>関連：参照先変数itemNameKeyClass</t>
  </si>
  <si>
    <t>最大バイト数[MB]</t>
  </si>
  <si>
    <t>BINARYの
場合</t>
  </si>
  <si>
    <t>BINARY</t>
  </si>
  <si>
    <t>■バージョン情報
・対応code-generator version: 15.0.0-beta.3 以降
・前minorバージョンからのformat移行が必要な場合：必須
　（列変更・追加があるため）
■変更内容
・英語版のエクセルテンプレートを追加
・ファイル名の形式変更
▼「dataType定義」シート
　・BINARY型の追加
▼「DB項目定義」・「DB共通項目定義」シート
　・「PK・UK」列を、「Surrogate key」と「natural key (unique key)」 の2つの列に分割。
　　また、もともと「S・U」で記載していたのを、「○」で記載するよう変更
　・「関連：参照元変数itemNameKeyClass」、「関連：参照先変数itemNameKeyClass」列の追加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</si>
</sst>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theme="1"/>
      <name val="Calibri"/>
      <family val="2"/>
      <charset val="128"/>
      <scheme val="minor"/>
    </font>
    <font>
      <sz val="11"/>
      <color theme="1"/>
      <name val="Calibri"/>
      <family val="2"/>
      <charset val="128"/>
      <scheme val="minor"/>
    </font>
    <font>
      <b/>
      <u/>
      <sz val="11"/>
      <color theme="1"/>
      <name val="Calibri"/>
      <family val="3"/>
      <charset val="128"/>
      <scheme val="minor"/>
    </font>
    <font>
      <sz val="11"/>
      <color theme="0"/>
      <name val="Calibri"/>
      <family val="2"/>
      <scheme val="minor"/>
    </font>
    <font>
      <b/>
      <sz val="11"/>
      <color theme="0"/>
      <name val="Calibri"/>
      <family val="2"/>
      <scheme val="minor"/>
    </font>
    <font>
      <sz val="11"/>
      <name val="Calibri"/>
      <family val="3"/>
      <charset val="128"/>
      <scheme val="minor"/>
    </font>
    <font>
      <b/>
      <u/>
      <sz val="11"/>
      <color theme="1"/>
      <name val="Calibri"/>
      <family val="3"/>
      <charset val="128"/>
      <scheme val="minor"/>
    </font>
    <font>
      <sz val="11"/>
      <color theme="1"/>
      <name val="Calibri"/>
      <family val="2"/>
      <scheme val="minor"/>
    </font>
    <font>
      <b/>
      <sz val="11"/>
      <color theme="0"/>
      <name val="Calibri"/>
      <family val="2"/>
      <scheme val="minor"/>
    </font>
    <font>
      <sz val="36"/>
      <color rgb="FF212121"/>
      <name val="Inherit"/>
      <family val="2"/>
    </font>
    <font>
      <sz val="11"/>
      <color rgb="FF000000"/>
      <name val="Calibri"/>
      <family val="2"/>
      <charset val="128"/>
      <scheme val="minor"/>
    </font>
  </fonts>
  <fills count="19">
    <fill>
      <patternFill patternType="none"/>
    </fill>
    <fill>
      <patternFill patternType="gray125"/>
    </fill>
    <fill>
      <patternFill patternType="solid">
        <fgColor theme="9" tint="0.39997558519241921"/>
        <bgColor indexed="64"/>
      </patternFill>
    </fill>
    <fill>
      <patternFill patternType="solid">
        <fgColor theme="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1" tint="0.34998626667073579"/>
        <bgColor indexed="64"/>
      </patternFill>
    </fill>
    <fill>
      <patternFill patternType="solid">
        <fgColor theme="2" tint="-0.249977111117893"/>
        <bgColor indexed="64"/>
      </patternFill>
    </fill>
    <fill>
      <patternFill patternType="solid">
        <fgColor theme="2" tint="-0.499984740745262"/>
        <bgColor indexed="64"/>
      </patternFill>
    </fill>
    <fill>
      <patternFill patternType="solid">
        <fgColor theme="7"/>
        <bgColor indexed="64"/>
      </patternFill>
    </fill>
    <fill>
      <patternFill patternType="solid">
        <fgColor theme="7" tint="0.79998168889431442"/>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1" tint="0.499984740745262"/>
        <bgColor indexed="64"/>
      </patternFill>
    </fill>
    <fill>
      <patternFill patternType="solid">
        <fgColor theme="5"/>
        <bgColor indexed="64"/>
      </patternFill>
    </fill>
    <fill>
      <patternFill patternType="solid">
        <fgColor theme="5"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theme="6" tint="0.39997558519241921"/>
      </top>
      <bottom style="thin">
        <color theme="6" tint="0.39997558519241921"/>
      </bottom>
      <diagonal/>
    </border>
    <border>
      <left/>
      <right/>
      <top style="thin">
        <color theme="4" tint="0.39997558519241921"/>
      </top>
      <bottom style="thin">
        <color theme="4" tint="0.399975585192419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lignment vertical="center"/>
    </xf>
  </cellStyleXfs>
  <cellXfs count="114">
    <xf numFmtId="0" fontId="0" fillId="0" borderId="0" xfId="0"/>
    <xf numFmtId="0" fontId="0" fillId="0" borderId="0" xfId="0" applyAlignment="1">
      <alignment vertical="center"/>
    </xf>
    <xf numFmtId="49" fontId="0" fillId="0" borderId="0" xfId="0" applyNumberFormat="1" applyAlignment="1">
      <alignment vertical="center"/>
    </xf>
    <xf numFmtId="49" fontId="0" fillId="0" borderId="0" xfId="0" applyNumberFormat="1"/>
    <xf numFmtId="0" fontId="0" fillId="0" borderId="0" xfId="0" applyAlignment="1">
      <alignment horizontal="center" vertical="center"/>
    </xf>
    <xf numFmtId="49" fontId="0" fillId="0" borderId="0" xfId="0" applyNumberFormat="1" applyAlignment="1">
      <alignment horizontal="center" vertical="center" wrapText="1"/>
    </xf>
    <xf numFmtId="49" fontId="0" fillId="0" borderId="0" xfId="0" applyNumberFormat="1" applyAlignment="1" applyProtection="1">
      <alignment vertical="center"/>
      <protection locked="0"/>
    </xf>
    <xf numFmtId="49" fontId="3" fillId="0" borderId="0" xfId="0" applyNumberFormat="1" applyFont="1" applyProtection="1">
      <protection locked="0"/>
    </xf>
    <xf numFmtId="49" fontId="0" fillId="0" borderId="0" xfId="0" applyNumberFormat="1" applyAlignment="1" applyProtection="1">
      <alignment horizontal="center" vertical="center"/>
      <protection locked="0"/>
    </xf>
    <xf numFmtId="49" fontId="0" fillId="0" borderId="0" xfId="0" applyNumberFormat="1" applyAlignment="1" applyProtection="1">
      <alignment horizontal="center"/>
      <protection locked="0"/>
    </xf>
    <xf numFmtId="0" fontId="0" fillId="0" borderId="0" xfId="0" applyAlignment="1">
      <alignment horizontal="center"/>
    </xf>
    <xf numFmtId="0" fontId="0" fillId="0" borderId="0" xfId="0" applyAlignment="1">
      <alignment horizontal="right"/>
    </xf>
    <xf numFmtId="0" fontId="3" fillId="0" borderId="0" xfId="0" applyFont="1"/>
    <xf numFmtId="14" fontId="0" fillId="0" borderId="0" xfId="0" applyNumberFormat="1" applyAlignment="1">
      <alignment vertical="center"/>
    </xf>
    <xf numFmtId="0" fontId="0" fillId="0" borderId="0" xfId="0" applyAlignment="1">
      <alignment horizontal="right" vertical="center"/>
    </xf>
    <xf numFmtId="0" fontId="0" fillId="0" borderId="0" xfId="0" applyAlignment="1">
      <alignment vertical="center" wrapText="1"/>
    </xf>
    <xf numFmtId="49" fontId="0" fillId="0" borderId="0" xfId="0" applyNumberFormat="1" applyAlignment="1">
      <alignment horizontal="left" vertical="center"/>
    </xf>
    <xf numFmtId="49" fontId="0" fillId="0" borderId="2" xfId="0" applyNumberFormat="1" applyBorder="1" applyAlignment="1">
      <alignment horizontal="left" vertical="center"/>
    </xf>
    <xf numFmtId="49" fontId="0" fillId="0" borderId="1" xfId="0" applyNumberFormat="1" applyBorder="1" applyAlignment="1">
      <alignment horizontal="left" vertical="center"/>
    </xf>
    <xf numFmtId="0" fontId="0" fillId="0" borderId="1" xfId="0" applyBorder="1"/>
    <xf numFmtId="0" fontId="0" fillId="5" borderId="0" xfId="0" applyFill="1" applyAlignment="1">
      <alignment horizontal="center"/>
    </xf>
    <xf numFmtId="49" fontId="0" fillId="5" borderId="0" xfId="0" applyNumberFormat="1" applyFill="1" applyAlignment="1">
      <alignment horizontal="center"/>
    </xf>
    <xf numFmtId="49" fontId="0" fillId="7" borderId="0" xfId="0" applyNumberFormat="1" applyFill="1" applyAlignment="1">
      <alignment horizontal="center"/>
    </xf>
    <xf numFmtId="49" fontId="0" fillId="0" borderId="0" xfId="0" applyNumberFormat="1" applyAlignment="1">
      <alignment vertical="center" wrapText="1"/>
    </xf>
    <xf numFmtId="49" fontId="0" fillId="4" borderId="0" xfId="0" applyNumberFormat="1" applyFill="1"/>
    <xf numFmtId="49" fontId="0" fillId="0" borderId="0" xfId="0" applyNumberFormat="1" applyAlignment="1" applyProtection="1">
      <alignment horizontal="left" vertical="center" wrapText="1"/>
      <protection locked="0"/>
    </xf>
    <xf numFmtId="0" fontId="0" fillId="7" borderId="0" xfId="0" applyFill="1" applyAlignment="1">
      <alignment horizontal="center"/>
    </xf>
    <xf numFmtId="0" fontId="0" fillId="0" borderId="0" xfId="0" applyAlignment="1">
      <alignment horizontal="center" vertical="center" wrapText="1"/>
    </xf>
    <xf numFmtId="0" fontId="0" fillId="2" borderId="0" xfId="0" applyFill="1" applyAlignment="1">
      <alignment horizontal="center" vertical="center"/>
    </xf>
    <xf numFmtId="49" fontId="3" fillId="0" borderId="0" xfId="0" applyNumberFormat="1" applyFont="1" applyAlignment="1" applyProtection="1">
      <alignment vertical="center"/>
      <protection locked="0"/>
    </xf>
    <xf numFmtId="49" fontId="0" fillId="11" borderId="0" xfId="0" applyNumberFormat="1" applyFill="1" applyAlignment="1">
      <alignment horizontal="center" vertical="center" wrapText="1"/>
    </xf>
    <xf numFmtId="49" fontId="0" fillId="10" borderId="0" xfId="0" applyNumberFormat="1" applyFill="1" applyAlignment="1">
      <alignment horizontal="center"/>
    </xf>
    <xf numFmtId="0" fontId="0" fillId="0" borderId="4" xfId="0" applyBorder="1"/>
    <xf numFmtId="49" fontId="0" fillId="0" borderId="0" xfId="0" applyNumberFormat="1" applyAlignment="1">
      <alignment horizontal="left" vertical="center" wrapText="1"/>
    </xf>
    <xf numFmtId="49" fontId="7" fillId="0" borderId="0" xfId="0" applyNumberFormat="1" applyFont="1" applyProtection="1">
      <protection locked="0"/>
    </xf>
    <xf numFmtId="49" fontId="8" fillId="0" borderId="0" xfId="0" applyNumberFormat="1" applyFont="1" applyProtection="1">
      <protection locked="0"/>
    </xf>
    <xf numFmtId="0" fontId="8" fillId="0" borderId="0" xfId="0" applyFont="1" applyAlignment="1" applyProtection="1">
      <alignment horizontal="center"/>
      <protection locked="0"/>
    </xf>
    <xf numFmtId="49" fontId="8" fillId="0" borderId="0" xfId="0" applyNumberFormat="1" applyFont="1" applyAlignment="1" applyProtection="1">
      <alignment horizontal="center"/>
      <protection locked="0"/>
    </xf>
    <xf numFmtId="0" fontId="8" fillId="0" borderId="0" xfId="0" applyFont="1"/>
    <xf numFmtId="49" fontId="8" fillId="0" borderId="0" xfId="0" applyNumberFormat="1" applyFont="1" applyAlignment="1" applyProtection="1">
      <alignment horizontal="center" vertical="center"/>
      <protection locked="0"/>
    </xf>
    <xf numFmtId="0" fontId="8" fillId="0" borderId="0" xfId="0" applyFont="1" applyAlignment="1">
      <alignment vertical="center"/>
    </xf>
    <xf numFmtId="0" fontId="10" fillId="0" borderId="0" xfId="0" applyFont="1" applyAlignment="1">
      <alignment horizontal="left" vertical="center"/>
    </xf>
    <xf numFmtId="49" fontId="8" fillId="0" borderId="0" xfId="0" applyNumberFormat="1" applyFont="1" applyAlignment="1" applyProtection="1">
      <alignment vertical="center"/>
      <protection locked="0"/>
    </xf>
    <xf numFmtId="0" fontId="8" fillId="0" borderId="0" xfId="0" applyFont="1" applyAlignment="1" applyProtection="1">
      <alignment horizontal="center" vertical="center"/>
      <protection locked="0"/>
    </xf>
    <xf numFmtId="0" fontId="0" fillId="0" borderId="0" xfId="0" applyAlignment="1">
      <alignment wrapText="1"/>
    </xf>
    <xf numFmtId="0" fontId="0" fillId="0" borderId="5" xfId="0" applyBorder="1"/>
    <xf numFmtId="49" fontId="0" fillId="0" borderId="3" xfId="0" applyNumberFormat="1" applyBorder="1" applyAlignment="1">
      <alignment horizontal="center" vertical="center"/>
    </xf>
    <xf numFmtId="49" fontId="0" fillId="13" borderId="0" xfId="0" applyNumberFormat="1" applyFill="1" applyAlignment="1">
      <alignment horizontal="center"/>
    </xf>
    <xf numFmtId="49" fontId="0" fillId="12" borderId="0" xfId="0" applyNumberFormat="1" applyFill="1" applyAlignment="1">
      <alignment horizontal="center" vertical="center" wrapText="1"/>
    </xf>
    <xf numFmtId="0" fontId="11" fillId="0" borderId="0" xfId="0" applyFont="1" applyAlignment="1">
      <alignment vertical="center"/>
    </xf>
    <xf numFmtId="49" fontId="1" fillId="0" borderId="0" xfId="0" applyNumberFormat="1" applyFont="1" applyAlignment="1" applyProtection="1">
      <alignment horizontal="left" vertical="center"/>
      <protection locked="0"/>
    </xf>
    <xf numFmtId="49" fontId="0" fillId="2" borderId="0" xfId="0" applyNumberFormat="1" applyFill="1" applyAlignment="1">
      <alignment horizontal="center" vertical="center"/>
    </xf>
    <xf numFmtId="49" fontId="1" fillId="0" borderId="3" xfId="0" applyNumberFormat="1" applyFont="1" applyBorder="1" applyAlignment="1">
      <alignment horizontal="center" vertical="center"/>
    </xf>
    <xf numFmtId="14" fontId="0" fillId="0" borderId="0" xfId="0" applyNumberFormat="1" applyAlignment="1">
      <alignment horizontal="right" vertical="center"/>
    </xf>
    <xf numFmtId="0" fontId="0" fillId="9" borderId="0" xfId="0" applyFill="1"/>
    <xf numFmtId="0" fontId="0" fillId="9" borderId="0" xfId="0" applyFill="1" applyAlignment="1">
      <alignment wrapText="1"/>
    </xf>
    <xf numFmtId="0" fontId="0" fillId="9" borderId="0" xfId="0" applyFill="1" applyAlignment="1">
      <alignment horizontal="center" vertical="center" wrapText="1"/>
    </xf>
    <xf numFmtId="49" fontId="5" fillId="9" borderId="4" xfId="0" applyNumberFormat="1" applyFont="1" applyFill="1" applyBorder="1" applyAlignment="1">
      <alignment wrapText="1"/>
    </xf>
    <xf numFmtId="49" fontId="9" fillId="9" borderId="4" xfId="0" applyNumberFormat="1" applyFont="1" applyFill="1" applyBorder="1" applyAlignment="1">
      <alignment wrapText="1"/>
    </xf>
    <xf numFmtId="0" fontId="0" fillId="9" borderId="0" xfId="0" applyFill="1" applyAlignment="1" applyProtection="1">
      <alignment horizontal="center" vertical="center" wrapText="1"/>
      <protection locked="0"/>
    </xf>
    <xf numFmtId="49" fontId="8" fillId="0" borderId="0" xfId="0" applyNumberFormat="1" applyFont="1" applyAlignment="1" applyProtection="1">
      <alignment horizontal="center" vertical="center" wrapText="1"/>
      <protection locked="0"/>
    </xf>
    <xf numFmtId="49" fontId="0" fillId="0" borderId="0" xfId="0" applyNumberFormat="1" applyAlignment="1" applyProtection="1">
      <alignment horizontal="center" vertical="center" wrapText="1"/>
      <protection locked="0"/>
    </xf>
    <xf numFmtId="49" fontId="8" fillId="0" borderId="0" xfId="0" applyNumberFormat="1" applyFont="1" applyAlignment="1">
      <alignment horizontal="center" vertical="center" wrapText="1"/>
    </xf>
    <xf numFmtId="49" fontId="0" fillId="0" borderId="0" xfId="0" applyNumberFormat="1" applyAlignment="1">
      <alignment wrapText="1"/>
    </xf>
    <xf numFmtId="0" fontId="0" fillId="9" borderId="0" xfId="0" applyFill="1" applyAlignment="1">
      <alignment horizontal="center"/>
    </xf>
    <xf numFmtId="0" fontId="1" fillId="0" borderId="0" xfId="1" applyFont="1">
      <alignment vertical="center"/>
    </xf>
    <xf numFmtId="49" fontId="1" fillId="14" borderId="5" xfId="0" applyNumberFormat="1" applyFont="1" applyFill="1" applyBorder="1" applyAlignment="1">
      <alignment horizontal="left" vertical="center" wrapText="1"/>
    </xf>
    <xf numFmtId="49" fontId="0" fillId="14" borderId="3" xfId="0" applyNumberFormat="1" applyFill="1" applyBorder="1" applyAlignment="1">
      <alignment vertical="center"/>
    </xf>
    <xf numFmtId="49" fontId="1" fillId="14" borderId="3" xfId="0" applyNumberFormat="1" applyFont="1" applyFill="1" applyBorder="1" applyAlignment="1">
      <alignment horizontal="left" vertical="center"/>
    </xf>
    <xf numFmtId="49" fontId="0" fillId="14" borderId="3" xfId="0" applyNumberFormat="1" applyFill="1" applyBorder="1" applyAlignment="1">
      <alignment horizontal="center"/>
    </xf>
    <xf numFmtId="49" fontId="6" fillId="14" borderId="3" xfId="0" applyNumberFormat="1" applyFont="1" applyFill="1" applyBorder="1" applyAlignment="1">
      <alignment horizontal="center"/>
    </xf>
    <xf numFmtId="49" fontId="1" fillId="14" borderId="3" xfId="0" applyNumberFormat="1" applyFont="1" applyFill="1" applyBorder="1" applyAlignment="1">
      <alignment horizontal="center"/>
    </xf>
    <xf numFmtId="49" fontId="1" fillId="14" borderId="3" xfId="0" applyNumberFormat="1" applyFont="1" applyFill="1" applyBorder="1" applyAlignment="1">
      <alignment horizontal="center" vertical="center"/>
    </xf>
    <xf numFmtId="49" fontId="1" fillId="14" borderId="3" xfId="0" applyNumberFormat="1" applyFont="1" applyFill="1" applyBorder="1" applyAlignment="1">
      <alignment horizontal="center" vertical="center" wrapText="1"/>
    </xf>
    <xf numFmtId="49" fontId="0" fillId="14" borderId="3" xfId="0" applyNumberFormat="1" applyFill="1" applyBorder="1" applyAlignment="1">
      <alignment horizontal="center" vertical="center"/>
    </xf>
    <xf numFmtId="49" fontId="1" fillId="0" borderId="5" xfId="0" applyNumberFormat="1" applyFont="1" applyBorder="1" applyAlignment="1">
      <alignment horizontal="left" vertical="center" wrapText="1"/>
    </xf>
    <xf numFmtId="49" fontId="0" fillId="0" borderId="3" xfId="0" applyNumberFormat="1" applyBorder="1" applyAlignment="1">
      <alignment vertical="center"/>
    </xf>
    <xf numFmtId="49" fontId="1" fillId="0" borderId="3" xfId="0" applyNumberFormat="1" applyFont="1" applyBorder="1" applyAlignment="1">
      <alignment horizontal="left" vertical="center"/>
    </xf>
    <xf numFmtId="49" fontId="0" fillId="0" borderId="3" xfId="0" applyNumberFormat="1" applyBorder="1" applyAlignment="1">
      <alignment horizontal="center"/>
    </xf>
    <xf numFmtId="49" fontId="6" fillId="0" borderId="3" xfId="0" applyNumberFormat="1" applyFont="1" applyBorder="1" applyAlignment="1">
      <alignment horizontal="center"/>
    </xf>
    <xf numFmtId="49" fontId="1" fillId="0" borderId="3" xfId="0" applyNumberFormat="1" applyFont="1" applyBorder="1" applyAlignment="1">
      <alignment horizontal="center"/>
    </xf>
    <xf numFmtId="49" fontId="0" fillId="14" borderId="3" xfId="0" applyNumberFormat="1" applyFill="1" applyBorder="1"/>
    <xf numFmtId="49" fontId="0" fillId="14" borderId="3" xfId="0" applyNumberFormat="1" applyFill="1" applyBorder="1" applyAlignment="1">
      <alignment horizontal="left" vertical="center"/>
    </xf>
    <xf numFmtId="49" fontId="6" fillId="0" borderId="3" xfId="0" applyNumberFormat="1" applyFont="1" applyBorder="1" applyAlignment="1">
      <alignment horizontal="center" vertical="center"/>
    </xf>
    <xf numFmtId="49" fontId="8" fillId="9" borderId="0" xfId="0" applyNumberFormat="1" applyFont="1" applyFill="1" applyAlignment="1" applyProtection="1">
      <alignment horizontal="center" vertical="center"/>
      <protection locked="0"/>
    </xf>
    <xf numFmtId="49" fontId="1" fillId="0" borderId="3" xfId="0" applyNumberFormat="1" applyFont="1" applyBorder="1" applyAlignment="1">
      <alignment horizontal="left" wrapText="1"/>
    </xf>
    <xf numFmtId="49" fontId="1" fillId="0" borderId="3" xfId="0" applyNumberFormat="1" applyFont="1" applyBorder="1" applyAlignment="1">
      <alignment wrapText="1"/>
    </xf>
    <xf numFmtId="49" fontId="0" fillId="0" borderId="3" xfId="0" applyNumberFormat="1" applyBorder="1" applyAlignment="1">
      <alignment horizontal="left" vertical="center"/>
    </xf>
    <xf numFmtId="49" fontId="6" fillId="0" borderId="3" xfId="0" applyNumberFormat="1" applyFont="1" applyBorder="1" applyAlignment="1">
      <alignment wrapText="1"/>
    </xf>
    <xf numFmtId="49" fontId="0" fillId="9" borderId="0" xfId="0" applyNumberFormat="1" applyFill="1" applyAlignment="1" applyProtection="1">
      <alignment horizontal="center" vertical="center" wrapText="1"/>
      <protection locked="0"/>
    </xf>
    <xf numFmtId="0" fontId="0" fillId="14" borderId="3" xfId="0" applyFill="1" applyBorder="1"/>
    <xf numFmtId="0" fontId="0" fillId="14" borderId="7" xfId="0" applyFill="1" applyBorder="1"/>
    <xf numFmtId="0" fontId="5" fillId="9" borderId="8" xfId="0" applyFont="1" applyFill="1" applyBorder="1"/>
    <xf numFmtId="0" fontId="5" fillId="15" borderId="6" xfId="0" applyFont="1" applyFill="1" applyBorder="1"/>
    <xf numFmtId="0" fontId="5" fillId="15" borderId="9" xfId="0" applyFont="1" applyFill="1" applyBorder="1"/>
    <xf numFmtId="0" fontId="0" fillId="14" borderId="8" xfId="0" applyFill="1" applyBorder="1"/>
    <xf numFmtId="0" fontId="0" fillId="14" borderId="6" xfId="0" applyFill="1" applyBorder="1"/>
    <xf numFmtId="0" fontId="0" fillId="14" borderId="9" xfId="0" applyFill="1" applyBorder="1"/>
    <xf numFmtId="0" fontId="0" fillId="0" borderId="8" xfId="0" applyBorder="1"/>
    <xf numFmtId="0" fontId="0" fillId="0" borderId="6" xfId="0" applyBorder="1"/>
    <xf numFmtId="0" fontId="0" fillId="0" borderId="9" xfId="0" applyBorder="1"/>
    <xf numFmtId="0" fontId="0" fillId="14" borderId="5" xfId="0" applyFill="1" applyBorder="1"/>
    <xf numFmtId="0" fontId="0" fillId="0" borderId="1" xfId="0" quotePrefix="1" applyBorder="1"/>
    <xf numFmtId="0" fontId="4" fillId="16" borderId="1" xfId="0" applyFont="1" applyFill="1" applyBorder="1" applyAlignment="1">
      <alignment horizontal="center"/>
    </xf>
    <xf numFmtId="0" fontId="1" fillId="0" borderId="3" xfId="0" applyFont="1" applyBorder="1" applyAlignment="1">
      <alignment horizontal="center"/>
    </xf>
    <xf numFmtId="49" fontId="0" fillId="17" borderId="0" xfId="0" applyNumberFormat="1" applyFill="1" applyAlignment="1">
      <alignment horizontal="center" vertical="center" wrapText="1"/>
    </xf>
    <xf numFmtId="49" fontId="0" fillId="18" borderId="0" xfId="0" applyNumberFormat="1" applyFill="1" applyAlignment="1">
      <alignment horizontal="center"/>
    </xf>
    <xf numFmtId="0" fontId="5" fillId="3" borderId="1" xfId="0" applyFont="1" applyFill="1" applyBorder="1" applyAlignment="1">
      <alignment horizontal="center"/>
    </xf>
    <xf numFmtId="0" fontId="0" fillId="0" borderId="10" xfId="0" applyBorder="1"/>
    <xf numFmtId="0" fontId="0" fillId="0" borderId="11" xfId="0" applyBorder="1"/>
    <xf numFmtId="49" fontId="0" fillId="8" borderId="0" xfId="0" applyNumberFormat="1" applyFill="1" applyAlignment="1">
      <alignment horizontal="center" vertical="center"/>
    </xf>
    <xf numFmtId="0" fontId="0" fillId="0" borderId="0" xfId="0"/>
    <xf numFmtId="49" fontId="0" fillId="6" borderId="0" xfId="0" applyNumberFormat="1" applyFill="1" applyAlignment="1">
      <alignment horizontal="center" vertical="center"/>
    </xf>
    <xf numFmtId="49" fontId="0" fillId="0" borderId="0" xfId="0" applyNumberFormat="1"/>
  </cellXfs>
  <cellStyles count="2">
    <cellStyle name="Normal" xfId="0" builtinId="0"/>
    <cellStyle name="標準 2" xfId="1" xr:uid="{00000000-0005-0000-0000-000001000000}"/>
  </cellStyles>
  <dxfs count="127">
    <dxf>
      <numFmt numFmtId="30" formatCode="@"/>
      <alignment horizontal="general" vertical="center" textRotation="0" wrapText="0" indent="0" justifyLastLine="0" shrinkToFit="0" readingOrder="0"/>
    </dxf>
    <dxf>
      <numFmt numFmtId="30" formatCode="@"/>
      <alignment horizontal="center" vertical="center"/>
      <protection locked="0" hidden="0"/>
    </dxf>
    <dxf>
      <numFmt numFmtId="30" formatCode="@"/>
      <alignment horizontal="general" vertical="center"/>
      <protection locked="0" hidden="0"/>
    </dxf>
    <dxf>
      <numFmt numFmtId="30" formatCode="@"/>
      <alignment horizontal="general" vertical="center"/>
      <protection locked="0" hidden="0"/>
    </dxf>
    <dxf>
      <numFmt numFmtId="30" formatCode="@"/>
      <fill>
        <patternFill>
          <fgColor indexed="64"/>
          <bgColor indexed="65"/>
        </patternFill>
      </fill>
      <alignment horizontal="general" vertical="bottom" wrapText="1"/>
      <border>
        <left/>
        <right/>
        <top style="thin">
          <color theme="4" tint="0.39997558519241921"/>
        </top>
        <bottom style="thin">
          <color theme="4" tint="0.39997558519241921"/>
        </bottom>
        <vertical/>
        <horizontal/>
      </border>
    </dxf>
    <dxf>
      <numFmt numFmtId="30" formatCode="@"/>
      <fill>
        <patternFill>
          <fgColor indexed="64"/>
          <bgColor auto="1"/>
        </patternFill>
      </fill>
      <alignment horizontal="general" vertical="bottom" wrapText="1"/>
      <border outline="0">
        <left/>
        <right/>
        <top style="thin">
          <color theme="4" tint="0.39997558519241921"/>
        </top>
        <bottom style="thin">
          <color theme="4" tint="0.39997558519241921"/>
        </bottom>
      </border>
      <protection locked="0" hidden="0"/>
    </dxf>
    <dxf>
      <numFmt numFmtId="30" formatCode="@"/>
      <fill>
        <patternFill>
          <fgColor indexed="64"/>
          <bgColor indexed="65"/>
        </patternFill>
      </fill>
      <alignment horizontal="center" vertical="center"/>
      <border>
        <left/>
        <right/>
        <top style="thin">
          <color theme="4" tint="0.39997558519241921"/>
        </top>
        <bottom style="thin">
          <color theme="4" tint="0.39997558519241921"/>
        </bottom>
        <vertical/>
        <horizontal/>
      </border>
    </dxf>
    <dxf>
      <numFmt numFmtId="30" formatCode="@"/>
      <fill>
        <patternFill>
          <fgColor indexed="64"/>
          <bgColor indexed="65"/>
        </patternFill>
      </fill>
      <alignment horizontal="center" vertical="center"/>
      <border>
        <left/>
        <right/>
        <top style="thin">
          <color theme="4" tint="0.39997558519241921"/>
        </top>
        <bottom style="thin">
          <color theme="4" tint="0.39997558519241921"/>
        </bottom>
        <vertical/>
        <horizontal/>
      </border>
    </dxf>
    <dxf>
      <numFmt numFmtId="30" formatCode="@"/>
      <fill>
        <patternFill>
          <fgColor indexed="64"/>
          <bgColor indexed="65"/>
        </patternFill>
      </fill>
      <alignment horizontal="center" vertical="center"/>
      <border>
        <left/>
        <right/>
        <top style="thin">
          <color theme="4" tint="0.39997558519241921"/>
        </top>
        <bottom style="thin">
          <color theme="4" tint="0.39997558519241921"/>
        </bottom>
        <vertical/>
        <horizontal/>
      </border>
    </dxf>
    <dxf>
      <numFmt numFmtId="30" formatCode="@"/>
      <fill>
        <patternFill>
          <fgColor indexed="64"/>
          <bgColor indexed="65"/>
        </patternFill>
      </fill>
      <alignment horizontal="center" vertical="center"/>
      <border>
        <left/>
        <right/>
        <top style="thin">
          <color theme="4" tint="0.39997558519241921"/>
        </top>
        <bottom style="thin">
          <color theme="4" tint="0.39997558519241921"/>
        </bottom>
        <vertical/>
        <horizontal/>
      </border>
    </dxf>
    <dxf>
      <numFmt numFmtId="30" formatCode="@"/>
      <fill>
        <patternFill>
          <fgColor indexed="64"/>
          <bgColor indexed="65"/>
        </patternFill>
      </fill>
      <alignment horizontal="center" vertical="center"/>
      <border>
        <left/>
        <right/>
        <top style="thin">
          <color theme="4" tint="0.39997558519241921"/>
        </top>
        <bottom style="thin">
          <color theme="4" tint="0.39997558519241921"/>
        </bottom>
        <vertical/>
        <horizontal/>
      </border>
    </dxf>
    <dxf>
      <numFmt numFmtId="30" formatCode="@"/>
      <fill>
        <patternFill>
          <fgColor indexed="64"/>
          <bgColor indexed="65"/>
        </patternFill>
      </fill>
      <alignment horizontal="center" vertical="center"/>
      <border>
        <left/>
        <right/>
        <top style="thin">
          <color theme="4" tint="0.39997558519241921"/>
        </top>
        <bottom style="thin">
          <color theme="4" tint="0.39997558519241921"/>
        </bottom>
        <vertical/>
        <horizontal/>
      </border>
    </dxf>
    <dxf>
      <numFmt numFmtId="30" formatCode="@"/>
      <fill>
        <patternFill>
          <fgColor indexed="64"/>
          <bgColor indexed="65"/>
        </patternFill>
      </fill>
      <alignment horizontal="center" vertical="center"/>
      <border>
        <left/>
        <right/>
        <top style="thin">
          <color theme="4" tint="0.39997558519241921"/>
        </top>
        <bottom style="thin">
          <color theme="4" tint="0.39997558519241921"/>
        </bottom>
        <vertical/>
        <horizontal/>
      </border>
    </dxf>
    <dxf>
      <numFmt numFmtId="30" formatCode="@"/>
      <fill>
        <patternFill>
          <fgColor indexed="64"/>
          <bgColor auto="1"/>
        </patternFill>
      </fill>
      <alignment horizontal="center" vertical="center"/>
      <protection locked="0" hidden="0"/>
    </dxf>
    <dxf>
      <font>
        <strike val="0"/>
        <condense val="0"/>
        <extend val="0"/>
        <outline val="0"/>
        <shadow val="0"/>
        <vertAlign val="baseline"/>
        <sz val="11"/>
        <color theme="1"/>
        <name val="ＭＳ Ｐゴシック"/>
        <family val="2"/>
        <scheme val="minor"/>
      </font>
      <numFmt numFmtId="30" formatCode="@"/>
      <fill>
        <patternFill>
          <fgColor indexed="64"/>
          <bgColor auto="1"/>
        </patternFill>
      </fill>
      <alignment horizontal="center" vertical="center"/>
      <protection locked="0" hidden="0"/>
    </dxf>
    <dxf>
      <font>
        <strike val="0"/>
        <condense val="0"/>
        <extend val="0"/>
        <outline val="0"/>
        <shadow val="0"/>
        <vertAlign val="baseline"/>
        <sz val="11"/>
        <color theme="1"/>
        <name val="ＭＳ Ｐゴシック"/>
        <family val="2"/>
        <scheme val="minor"/>
      </font>
      <numFmt numFmtId="30" formatCode="@"/>
      <fill>
        <patternFill>
          <fgColor indexed="64"/>
          <bgColor auto="1"/>
        </patternFill>
      </fill>
      <alignment horizontal="center" vertical="center"/>
      <protection locked="0" hidden="0"/>
    </dxf>
    <dxf>
      <font>
        <strike val="0"/>
        <condense val="0"/>
        <extend val="0"/>
        <outline val="0"/>
        <shadow val="0"/>
        <vertAlign val="baseline"/>
        <sz val="11"/>
        <color theme="1"/>
        <name val="ＭＳ Ｐゴシック"/>
        <family val="2"/>
        <scheme val="minor"/>
      </font>
      <numFmt numFmtId="30" formatCode="@"/>
      <fill>
        <patternFill>
          <fgColor indexed="64"/>
          <bgColor auto="1"/>
        </patternFill>
      </fill>
      <alignment horizontal="center" vertical="bottom"/>
      <border outline="0">
        <left/>
        <right/>
        <top style="thin">
          <color theme="4" tint="0.39997558519241921"/>
        </top>
        <bottom style="thin">
          <color theme="4" tint="0.39997558519241921"/>
        </bottom>
      </border>
      <protection locked="0" hidden="0"/>
    </dxf>
    <dxf>
      <numFmt numFmtId="30" formatCode="@"/>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numFmt numFmtId="30" formatCode="@"/>
      <fill>
        <patternFill>
          <fgColor indexed="64"/>
          <bgColor auto="1"/>
        </patternFill>
      </fill>
      <alignment horizontal="center" vertical="center"/>
      <border outline="0">
        <left/>
        <right/>
        <top style="thin">
          <color theme="4" tint="0.39997558519241921"/>
        </top>
        <bottom style="thin">
          <color theme="4" tint="0.39997558519241921"/>
        </bottom>
      </border>
      <protection locked="0" hidden="0"/>
    </dxf>
    <dxf>
      <font>
        <strike val="0"/>
        <condense val="0"/>
        <extend val="0"/>
        <outline val="0"/>
        <shadow val="0"/>
        <vertAlign val="baseline"/>
        <sz val="11"/>
        <color theme="1"/>
        <name val="ＭＳ Ｐゴシック"/>
        <family val="2"/>
        <scheme val="minor"/>
      </font>
      <numFmt numFmtId="30" formatCode="@"/>
      <alignment horizontal="center" vertical="center"/>
      <border outline="0">
        <left/>
        <right/>
        <top style="thin">
          <color theme="4" tint="0.39997558519241921"/>
        </top>
        <bottom style="thin">
          <color theme="4" tint="0.39997558519241921"/>
        </bottom>
      </border>
      <protection locked="0" hidden="0"/>
    </dxf>
    <dxf>
      <font>
        <strike val="0"/>
        <condense val="0"/>
        <extend val="0"/>
        <outline val="0"/>
        <shadow val="0"/>
        <vertAlign val="baseline"/>
        <sz val="11"/>
        <color theme="1"/>
        <name val="ＭＳ Ｐゴシック"/>
        <family val="2"/>
        <scheme val="minor"/>
      </font>
      <numFmt numFmtId="30" formatCode="@"/>
      <alignment horizontal="center" vertical="center"/>
      <border>
        <left/>
        <right/>
        <top style="thin">
          <color theme="4" tint="0.39997558519241921"/>
        </top>
        <bottom style="thin">
          <color theme="4" tint="0.39997558519241921"/>
        </bottom>
        <vertical/>
        <horizontal/>
      </border>
      <protection locked="0" hidden="0"/>
    </dxf>
    <dxf>
      <numFmt numFmtId="30" formatCode="@"/>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numFmt numFmtId="30" formatCode="@"/>
      <alignment horizontal="center" vertical="center"/>
      <border>
        <left/>
        <right/>
        <top style="thin">
          <color theme="4" tint="0.39997558519241921"/>
        </top>
        <bottom style="thin">
          <color theme="4" tint="0.39997558519241921"/>
        </bottom>
        <vertical/>
        <horizontal/>
      </border>
      <protection locked="0" hidden="0"/>
    </dxf>
    <dxf>
      <font>
        <strike val="0"/>
        <condense val="0"/>
        <extend val="0"/>
        <outline val="0"/>
        <shadow val="0"/>
        <vertAlign val="baseline"/>
        <sz val="11"/>
        <color theme="1"/>
        <name val="ＭＳ Ｐゴシック"/>
        <family val="2"/>
        <scheme val="minor"/>
      </font>
      <numFmt numFmtId="30" formatCode="@"/>
      <alignment horizontal="center" vertical="center"/>
      <border>
        <left/>
        <right/>
        <top style="thin">
          <color theme="4" tint="0.39997558519241921"/>
        </top>
        <bottom style="thin">
          <color theme="4" tint="0.39997558519241921"/>
        </bottom>
        <vertical/>
        <horizontal/>
      </border>
      <protection locked="0" hidden="0"/>
    </dxf>
    <dxf>
      <font>
        <strike val="0"/>
        <condense val="0"/>
        <extend val="0"/>
        <outline val="0"/>
        <shadow val="0"/>
        <vertAlign val="baseline"/>
        <sz val="11"/>
        <color theme="1"/>
        <name val="ＭＳ Ｐゴシック"/>
        <family val="2"/>
        <scheme val="minor"/>
      </font>
      <numFmt numFmtId="30" formatCode="@"/>
      <alignment horizontal="center" vertical="center"/>
      <border>
        <left/>
        <right/>
        <top style="thin">
          <color theme="4" tint="0.39997558519241921"/>
        </top>
        <bottom style="thin">
          <color theme="4" tint="0.39997558519241921"/>
        </bottom>
        <vertical/>
        <horizontal/>
      </border>
      <protection locked="0" hidden="0"/>
    </dxf>
    <dxf>
      <font>
        <strike val="0"/>
        <condense val="0"/>
        <extend val="0"/>
        <outline val="0"/>
        <shadow val="0"/>
        <vertAlign val="baseline"/>
        <sz val="11"/>
        <color theme="1"/>
        <name val="ＭＳ Ｐゴシック"/>
        <family val="2"/>
        <scheme val="minor"/>
      </font>
      <numFmt numFmtId="30" formatCode="@"/>
      <alignment horizontal="center" vertical="center"/>
      <border>
        <left/>
        <right/>
        <top style="thin">
          <color theme="4" tint="0.39997558519241921"/>
        </top>
        <bottom style="thin">
          <color theme="4" tint="0.39997558519241921"/>
        </bottom>
        <vertical/>
        <horizontal/>
      </border>
      <protection locked="0" hidden="0"/>
    </dxf>
    <dxf>
      <numFmt numFmtId="30" formatCode="@"/>
      <alignment horizontal="center" vertical="center"/>
      <protection locked="0" hidden="0"/>
    </dxf>
    <dxf>
      <font>
        <strike val="0"/>
        <condense val="0"/>
        <extend val="0"/>
        <outline val="0"/>
        <shadow val="0"/>
        <vertAlign val="baseline"/>
        <sz val="11"/>
        <color theme="1"/>
        <name val="ＭＳ Ｐゴシック"/>
        <family val="2"/>
        <scheme val="minor"/>
      </font>
      <numFmt numFmtId="30" formatCode="@"/>
      <alignment horizontal="center" vertical="center"/>
      <protection locked="0" hidden="0"/>
    </dxf>
    <dxf>
      <numFmt numFmtId="30" formatCode="@"/>
      <alignment horizontal="center" vertical="center"/>
      <protection locked="0" hidden="0"/>
    </dxf>
    <dxf>
      <font>
        <strike val="0"/>
        <condense val="0"/>
        <extend val="0"/>
        <outline val="0"/>
        <shadow val="0"/>
        <vertAlign val="baseline"/>
        <sz val="11"/>
        <color theme="1"/>
        <name val="ＭＳ Ｐゴシック"/>
        <family val="2"/>
        <scheme val="minor"/>
      </font>
      <numFmt numFmtId="30" formatCode="@"/>
      <alignment horizontal="center" vertical="bottom"/>
      <border>
        <left/>
        <right/>
        <top style="thin">
          <color theme="4" tint="0.39997558519241921"/>
        </top>
        <bottom style="thin">
          <color theme="4" tint="0.39997558519241921"/>
        </bottom>
        <vertical/>
        <horizontal/>
      </border>
      <protection locked="0" hidden="0"/>
    </dxf>
    <dxf>
      <numFmt numFmtId="30" formatCode="@"/>
      <alignment horizontal="center" vertical="bottom"/>
      <border>
        <left/>
        <right/>
        <top style="thin">
          <color theme="4" tint="0.39997558519241921"/>
        </top>
        <bottom style="thin">
          <color theme="4" tint="0.39997558519241921"/>
        </bottom>
        <vertical/>
        <horizontal/>
      </border>
      <protection locked="0" hidden="0"/>
    </dxf>
    <dxf>
      <numFmt numFmtId="30" formatCode="@"/>
      <alignment horizontal="center" vertical="center"/>
      <protection locked="0" hidden="0"/>
    </dxf>
    <dxf>
      <numFmt numFmtId="30" formatCode="@"/>
      <alignment horizontal="center" vertical="center"/>
      <protection locked="0" hidden="0"/>
    </dxf>
    <dxf>
      <font>
        <strike val="0"/>
        <condense val="0"/>
        <extend val="0"/>
        <outline val="0"/>
        <shadow val="0"/>
        <vertAlign val="baseline"/>
        <sz val="11"/>
        <color theme="1"/>
        <name val="ＭＳ Ｐゴシック"/>
        <family val="2"/>
        <scheme val="minor"/>
      </font>
      <numFmt numFmtId="30" formatCode="@"/>
      <alignment horizontal="center" vertical="bottom"/>
      <border outline="0">
        <left/>
        <right/>
        <top style="thin">
          <color theme="4" tint="0.39997558519241921"/>
        </top>
        <bottom style="thin">
          <color theme="4" tint="0.39997558519241921"/>
        </bottom>
      </border>
      <protection locked="0" hidden="0"/>
    </dxf>
    <dxf>
      <numFmt numFmtId="0" formatCode="General"/>
      <fill>
        <patternFill>
          <fgColor indexed="64"/>
          <bgColor auto="1"/>
        </patternFill>
      </fill>
      <alignment horizontal="center" vertical="bottom"/>
      <border>
        <left/>
        <right/>
        <top style="thin">
          <color theme="4" tint="0.39997558519241921"/>
        </top>
        <bottom style="thin">
          <color theme="4" tint="0.39997558519241921"/>
        </bottom>
      </border>
      <protection locked="0" hidden="0"/>
    </dxf>
    <dxf>
      <numFmt numFmtId="30" formatCode="@"/>
      <alignment horizontal="general" vertical="center"/>
      <protection locked="0" hidden="0"/>
    </dxf>
    <dxf>
      <numFmt numFmtId="30" formatCode="@"/>
      <alignment horizontal="general" vertical="center"/>
      <protection locked="0" hidden="0"/>
    </dxf>
    <dxf>
      <numFmt numFmtId="30" formatCode="@"/>
      <fill>
        <patternFill patternType="solid">
          <fgColor theme="4" tint="0.79998168889431442"/>
          <bgColor theme="4" tint="0.79998168889431442"/>
        </patternFill>
      </fill>
      <alignment horizontal="left" vertical="center" wrapText="1"/>
      <border>
        <left style="thin">
          <color theme="4" tint="0.39997558519241921"/>
        </left>
        <right/>
        <top style="thin">
          <color theme="4" tint="0.39997558519241921"/>
        </top>
        <bottom style="thin">
          <color theme="4" tint="0.39997558519241921"/>
        </bottom>
        <vertical/>
        <horizontal/>
      </border>
      <protection locked="0" hidden="0"/>
    </dxf>
    <dxf>
      <alignment vertical="center"/>
    </dxf>
    <dxf>
      <numFmt numFmtId="30" formatCode="@"/>
      <alignment horizontal="center" vertical="center"/>
    </dxf>
    <dxf>
      <numFmt numFmtId="30" formatCode="@"/>
      <alignment horizontal="center" vertical="center"/>
      <protection locked="0" hidden="0"/>
    </dxf>
    <dxf>
      <numFmt numFmtId="30" formatCode="@"/>
      <alignment horizontal="general" vertical="center"/>
      <protection locked="0" hidden="0"/>
    </dxf>
    <dxf>
      <numFmt numFmtId="30" formatCode="@"/>
      <alignment horizontal="general" vertical="center"/>
      <protection locked="0" hidden="0"/>
    </dxf>
    <dxf>
      <font>
        <strike val="0"/>
        <condense val="0"/>
        <extend val="0"/>
        <outline val="0"/>
        <shadow val="0"/>
        <vertAlign val="baseline"/>
        <sz val="11"/>
        <color theme="1"/>
        <name val="Calibri"/>
        <family val="2"/>
        <scheme val="minor"/>
      </font>
      <numFmt numFmtId="30" formatCode="@"/>
      <alignment horizontal="general" vertical="center"/>
      <protection locked="0" hidden="0"/>
    </dxf>
    <dxf>
      <numFmt numFmtId="30" formatCode="@"/>
      <alignment horizontal="left" vertical="center" wrapText="1"/>
      <protection locked="0" hidden="0"/>
    </dxf>
    <dxf>
      <font>
        <strike val="0"/>
        <condense val="0"/>
        <extend val="0"/>
        <outline val="0"/>
        <shadow val="0"/>
        <vertAlign val="baseline"/>
        <sz val="11"/>
        <color theme="1"/>
        <name val="Calibri"/>
        <family val="2"/>
        <scheme val="minor"/>
      </font>
      <numFmt numFmtId="30" formatCode="@"/>
      <alignment horizontal="center" vertical="center"/>
      <protection locked="0" hidden="0"/>
    </dxf>
    <dxf>
      <font>
        <strike val="0"/>
        <condense val="0"/>
        <extend val="0"/>
        <outline val="0"/>
        <shadow val="0"/>
        <vertAlign val="baseline"/>
        <sz val="11"/>
        <color theme="1"/>
        <name val="Calibri"/>
        <family val="2"/>
        <scheme val="minor"/>
      </font>
      <numFmt numFmtId="30" formatCode="@"/>
      <alignment horizontal="center" vertical="center"/>
      <protection locked="0" hidden="0"/>
    </dxf>
    <dxf>
      <font>
        <strike val="0"/>
        <condense val="0"/>
        <extend val="0"/>
        <outline val="0"/>
        <shadow val="0"/>
        <vertAlign val="baseline"/>
        <sz val="11"/>
        <color theme="1"/>
        <name val="Calibri"/>
        <family val="2"/>
        <scheme val="minor"/>
      </font>
      <numFmt numFmtId="30" formatCode="@"/>
      <alignment horizontal="center" vertical="center"/>
      <protection locked="0" hidden="0"/>
    </dxf>
    <dxf>
      <font>
        <strike val="0"/>
        <condense val="0"/>
        <extend val="0"/>
        <outline val="0"/>
        <shadow val="0"/>
        <vertAlign val="baseline"/>
        <sz val="11"/>
        <color theme="1"/>
        <name val="Calibri"/>
        <family val="2"/>
        <scheme val="minor"/>
      </font>
      <numFmt numFmtId="30" formatCode="@"/>
      <alignment horizontal="center" vertical="center"/>
      <protection locked="0" hidden="0"/>
    </dxf>
    <dxf>
      <font>
        <strike val="0"/>
        <condense val="0"/>
        <extend val="0"/>
        <outline val="0"/>
        <shadow val="0"/>
        <vertAlign val="baseline"/>
        <sz val="11"/>
        <color theme="1"/>
        <name val="Calibri"/>
        <family val="2"/>
        <scheme val="minor"/>
      </font>
      <numFmt numFmtId="30" formatCode="@"/>
      <alignment horizontal="center" vertical="center"/>
      <protection locked="0" hidden="0"/>
    </dxf>
    <dxf>
      <font>
        <strike val="0"/>
        <condense val="0"/>
        <extend val="0"/>
        <outline val="0"/>
        <shadow val="0"/>
        <vertAlign val="baseline"/>
        <sz val="11"/>
        <color theme="1"/>
        <name val="Calibri"/>
        <family val="2"/>
        <scheme val="minor"/>
      </font>
      <numFmt numFmtId="30" formatCode="@"/>
      <alignment horizontal="center" vertical="center"/>
      <protection locked="0" hidden="0"/>
    </dxf>
    <dxf>
      <font>
        <strike val="0"/>
        <condense val="0"/>
        <extend val="0"/>
        <outline val="0"/>
        <shadow val="0"/>
        <vertAlign val="baseline"/>
        <sz val="11"/>
        <color theme="1"/>
        <name val="Calibri"/>
        <family val="2"/>
        <scheme val="minor"/>
      </font>
      <numFmt numFmtId="30" formatCode="@"/>
      <alignment horizontal="center" vertical="center"/>
      <protection locked="0" hidden="0"/>
    </dxf>
    <dxf>
      <numFmt numFmtId="30" formatCode="@"/>
      <alignment horizontal="center" vertical="center"/>
      <protection locked="0" hidden="0"/>
    </dxf>
    <dxf>
      <font>
        <strike val="0"/>
        <condense val="0"/>
        <extend val="0"/>
        <outline val="0"/>
        <shadow val="0"/>
        <vertAlign val="baseline"/>
        <sz val="11"/>
        <color theme="1"/>
        <name val="ＭＳ Ｐゴシック"/>
        <family val="2"/>
        <scheme val="minor"/>
      </font>
      <numFmt numFmtId="30" formatCode="@"/>
      <alignment horizontal="center" vertical="center"/>
      <protection locked="0" hidden="0"/>
    </dxf>
    <dxf>
      <font>
        <strike val="0"/>
        <condense val="0"/>
        <extend val="0"/>
        <outline val="0"/>
        <shadow val="0"/>
        <vertAlign val="baseline"/>
        <sz val="11"/>
        <color theme="1"/>
        <name val="ＭＳ Ｐゴシック"/>
        <family val="2"/>
        <scheme val="minor"/>
      </font>
      <numFmt numFmtId="30" formatCode="@"/>
      <alignment horizontal="center" vertical="center"/>
      <protection locked="0" hidden="0"/>
    </dxf>
    <dxf>
      <font>
        <strike val="0"/>
        <condense val="0"/>
        <extend val="0"/>
        <outline val="0"/>
        <shadow val="0"/>
        <vertAlign val="baseline"/>
        <sz val="11"/>
        <color theme="1"/>
        <name val="ＭＳ Ｐゴシック"/>
        <family val="2"/>
        <scheme val="minor"/>
      </font>
      <numFmt numFmtId="30" formatCode="@"/>
      <alignment horizontal="center" vertical="center"/>
      <protection locked="0" hidden="0"/>
    </dxf>
    <dxf>
      <font>
        <b val="0"/>
        <i val="0"/>
        <strike val="0"/>
        <condense val="0"/>
        <extend val="0"/>
        <outline val="0"/>
        <shadow val="0"/>
        <u val="none"/>
        <vertAlign val="baseline"/>
        <sz val="11"/>
        <color theme="1"/>
        <name val="Calibri"/>
        <family val="2"/>
        <scheme val="minor"/>
      </font>
      <numFmt numFmtId="30" formatCode="@"/>
      <alignment horizontal="center" vertical="center" textRotation="0" wrapText="0" indent="0" justifyLastLine="0" shrinkToFit="0" readingOrder="0"/>
      <protection locked="0" hidden="0"/>
    </dxf>
    <dxf>
      <numFmt numFmtId="30" formatCode="@"/>
      <alignment horizontal="center" vertical="center"/>
      <protection locked="0" hidden="0"/>
    </dxf>
    <dxf>
      <font>
        <strike val="0"/>
        <condense val="0"/>
        <extend val="0"/>
        <outline val="0"/>
        <shadow val="0"/>
        <vertAlign val="baseline"/>
        <sz val="11"/>
        <color theme="1"/>
        <name val="ＭＳ Ｐゴシック"/>
        <family val="2"/>
        <scheme val="minor"/>
      </font>
      <numFmt numFmtId="30" formatCode="@"/>
      <alignment horizontal="center" vertical="center"/>
      <protection locked="0" hidden="0"/>
    </dxf>
    <dxf>
      <font>
        <strike val="0"/>
        <condense val="0"/>
        <extend val="0"/>
        <outline val="0"/>
        <shadow val="0"/>
        <vertAlign val="baseline"/>
        <sz val="11"/>
        <color theme="1"/>
        <name val="ＭＳ Ｐゴシック"/>
        <family val="2"/>
        <scheme val="minor"/>
      </font>
      <numFmt numFmtId="30" formatCode="@"/>
      <alignment horizontal="center" vertical="center"/>
      <protection locked="0" hidden="0"/>
    </dxf>
    <dxf>
      <font>
        <b val="0"/>
        <i val="0"/>
        <strike val="0"/>
        <condense val="0"/>
        <extend val="0"/>
        <outline val="0"/>
        <shadow val="0"/>
        <u val="none"/>
        <vertAlign val="baseline"/>
        <sz val="11"/>
        <color theme="1"/>
        <name val="Calibri"/>
        <family val="2"/>
        <scheme val="minor"/>
      </font>
      <numFmt numFmtId="30" formatCode="@"/>
      <alignment horizontal="center" vertical="center" textRotation="0" wrapText="0" indent="0" justifyLastLine="0" shrinkToFit="0" readingOrder="0"/>
      <protection locked="0" hidden="0"/>
    </dxf>
    <dxf>
      <numFmt numFmtId="30" formatCode="@"/>
      <alignment horizontal="center" vertical="center"/>
      <protection locked="0" hidden="0"/>
    </dxf>
    <dxf>
      <font>
        <strike val="0"/>
        <condense val="0"/>
        <extend val="0"/>
        <outline val="0"/>
        <shadow val="0"/>
        <vertAlign val="baseline"/>
        <sz val="11"/>
        <color theme="1"/>
        <name val="ＭＳ Ｐゴシック"/>
        <family val="2"/>
        <scheme val="minor"/>
      </font>
      <numFmt numFmtId="30" formatCode="@"/>
      <alignment horizontal="center" vertical="center"/>
      <protection locked="0" hidden="0"/>
    </dxf>
    <dxf>
      <font>
        <strike val="0"/>
        <condense val="0"/>
        <extend val="0"/>
        <outline val="0"/>
        <shadow val="0"/>
        <vertAlign val="baseline"/>
        <sz val="11"/>
        <color theme="1"/>
        <name val="ＭＳ Ｐゴシック"/>
        <family val="2"/>
        <scheme val="minor"/>
      </font>
      <numFmt numFmtId="30" formatCode="@"/>
      <alignment horizontal="center" vertical="center"/>
      <protection locked="0" hidden="0"/>
    </dxf>
    <dxf>
      <font>
        <strike val="0"/>
        <condense val="0"/>
        <extend val="0"/>
        <outline val="0"/>
        <shadow val="0"/>
        <vertAlign val="baseline"/>
        <sz val="11"/>
        <color theme="1"/>
        <name val="ＭＳ Ｐゴシック"/>
        <family val="2"/>
        <scheme val="minor"/>
      </font>
      <numFmt numFmtId="30" formatCode="@"/>
      <alignment horizontal="center" vertical="center"/>
      <protection locked="0" hidden="0"/>
    </dxf>
    <dxf>
      <numFmt numFmtId="30" formatCode="@"/>
      <alignment horizontal="center" vertical="center"/>
      <protection locked="0" hidden="0"/>
    </dxf>
    <dxf>
      <font>
        <strike val="0"/>
        <condense val="0"/>
        <extend val="0"/>
        <outline val="0"/>
        <shadow val="0"/>
        <vertAlign val="baseline"/>
        <sz val="11"/>
        <color theme="1"/>
        <name val="ＭＳ Ｐゴシック"/>
        <family val="2"/>
        <scheme val="minor"/>
      </font>
      <numFmt numFmtId="30" formatCode="@"/>
      <alignment horizontal="center" vertical="center"/>
      <protection locked="0" hidden="0"/>
    </dxf>
    <dxf>
      <numFmt numFmtId="30" formatCode="@"/>
      <alignment horizontal="center" vertical="center"/>
      <protection locked="0" hidden="0"/>
    </dxf>
    <dxf>
      <font>
        <strike val="0"/>
        <condense val="0"/>
        <extend val="0"/>
        <outline val="0"/>
        <shadow val="0"/>
        <vertAlign val="baseline"/>
        <sz val="11"/>
        <color theme="1"/>
        <name val="ＭＳ Ｐゴシック"/>
        <family val="2"/>
        <scheme val="minor"/>
      </font>
      <numFmt numFmtId="30" formatCode="@"/>
      <alignment horizontal="center" vertical="center"/>
      <protection locked="0" hidden="0"/>
    </dxf>
    <dxf>
      <numFmt numFmtId="30" formatCode="@"/>
      <alignment horizontal="center" vertical="center"/>
      <protection locked="0" hidden="0"/>
    </dxf>
    <dxf>
      <numFmt numFmtId="30" formatCode="@"/>
      <alignment horizontal="center" vertical="center"/>
      <protection locked="0" hidden="0"/>
    </dxf>
    <dxf>
      <font>
        <strike val="0"/>
        <condense val="0"/>
        <extend val="0"/>
        <outline val="0"/>
        <shadow val="0"/>
        <vertAlign val="baseline"/>
        <sz val="11"/>
        <color theme="1"/>
        <name val="Calibri"/>
        <family val="2"/>
        <scheme val="minor"/>
      </font>
      <numFmt numFmtId="30" formatCode="@"/>
      <fill>
        <patternFill>
          <bgColor auto="1"/>
        </patternFill>
      </fill>
      <alignment horizontal="center" vertical="center"/>
      <protection locked="0" hidden="0"/>
    </dxf>
    <dxf>
      <numFmt numFmtId="30" formatCode="@"/>
      <fill>
        <patternFill>
          <bgColor auto="1"/>
        </patternFill>
      </fill>
      <alignment horizontal="center" vertical="center"/>
      <protection locked="0" hidden="0"/>
    </dxf>
    <dxf>
      <font>
        <strike val="0"/>
        <condense val="0"/>
        <extend val="0"/>
        <outline val="0"/>
        <shadow val="0"/>
        <vertAlign val="baseline"/>
        <sz val="11"/>
        <color theme="1"/>
        <name val="ＭＳ Ｐゴシック"/>
        <family val="2"/>
        <scheme val="minor"/>
      </font>
      <numFmt numFmtId="30" formatCode="@"/>
      <alignment horizontal="center" vertical="bottom"/>
      <protection locked="0" hidden="0"/>
    </dxf>
    <dxf>
      <numFmt numFmtId="0" formatCode="General"/>
      <alignment horizontal="center" vertical="center"/>
      <protection locked="0" hidden="0"/>
    </dxf>
    <dxf>
      <numFmt numFmtId="30" formatCode="@"/>
      <alignment horizontal="general" vertical="center"/>
      <protection locked="0" hidden="0"/>
    </dxf>
    <dxf>
      <numFmt numFmtId="30" formatCode="@"/>
      <alignment horizontal="general" vertical="center"/>
      <protection locked="0" hidden="0"/>
    </dxf>
    <dxf>
      <numFmt numFmtId="30" formatCode="@"/>
      <alignment horizontal="general" vertical="center"/>
      <protection locked="0" hidden="0"/>
    </dxf>
    <dxf>
      <alignment vertical="center"/>
    </dxf>
    <dxf>
      <numFmt numFmtId="30" formatCode="@"/>
      <alignment horizontal="center" vertical="center"/>
    </dxf>
    <dxf>
      <numFmt numFmtId="30" formatCode="@"/>
      <alignment horizontal="left" vertical="center"/>
    </dxf>
    <dxf>
      <numFmt numFmtId="30" formatCode="@"/>
      <alignment horizontal="left" vertical="center"/>
    </dxf>
    <dxf>
      <numFmt numFmtId="30" formatCode="@"/>
      <alignment horizontal="left" vertical="center"/>
      <border outline="0">
        <left/>
        <right/>
        <top style="thin">
          <color theme="6" tint="0.39997558519241921"/>
        </top>
        <bottom style="thin">
          <color theme="6" tint="0.39997558519241921"/>
        </bottom>
      </border>
    </dxf>
    <dxf>
      <numFmt numFmtId="30" formatCode="@"/>
      <alignment horizontal="left" vertical="center"/>
    </dxf>
    <dxf>
      <numFmt numFmtId="30" formatCode="@"/>
      <alignment horizontal="left" vertical="center" wrapText="1"/>
    </dxf>
    <dxf>
      <numFmt numFmtId="30" formatCode="@"/>
      <alignment horizontal="center" vertical="bottom"/>
      <protection locked="0" hidden="0"/>
    </dxf>
    <dxf>
      <numFmt numFmtId="30" formatCode="@"/>
      <alignment horizontal="left" vertical="center"/>
    </dxf>
    <dxf>
      <font>
        <strike val="0"/>
        <condense val="0"/>
        <extend val="0"/>
        <outline val="0"/>
        <shadow val="0"/>
        <vertAlign val="baseline"/>
        <sz val="11"/>
        <color theme="1"/>
        <name val="ＭＳ Ｐゴシック"/>
        <family val="2"/>
        <scheme val="minor"/>
      </font>
      <numFmt numFmtId="30" formatCode="@"/>
      <alignment horizontal="left" vertical="center"/>
      <protection locked="0" hidden="0"/>
    </dxf>
    <dxf>
      <numFmt numFmtId="30" formatCode="@"/>
      <alignment horizontal="general" vertical="center"/>
      <protection locked="0" hidden="0"/>
    </dxf>
    <dxf>
      <alignment horizontal="left" vertical="center"/>
    </dxf>
    <dxf>
      <numFmt numFmtId="30" formatCode="@"/>
      <fill>
        <patternFill>
          <fgColor indexed="64"/>
          <bgColor auto="1"/>
        </patternFill>
      </fill>
    </dxf>
    <dxf>
      <alignment horizontal="general" vertical="center" wrapText="1"/>
    </dxf>
    <dxf>
      <alignment horizontal="general" vertical="center" wrapText="1"/>
    </dxf>
    <dxf>
      <alignment horizontal="general" vertical="center" wrapText="1"/>
    </dxf>
    <dxf>
      <alignment horizontal="general" vertical="center" wrapText="1"/>
    </dxf>
    <dxf>
      <numFmt numFmtId="0" formatCode="General"/>
      <alignment horizontal="general" vertical="center" wrapText="1"/>
    </dxf>
    <dxf>
      <alignment horizontal="general" vertical="center" textRotation="0" wrapText="1" indent="0" justifyLastLine="0" shrinkToFit="0" readingOrder="0"/>
    </dxf>
    <dxf>
      <numFmt numFmtId="0" formatCode="General"/>
      <alignment horizontal="general" vertical="center" wrapText="1"/>
    </dxf>
    <dxf>
      <numFmt numFmtId="30" formatCode="@"/>
      <fill>
        <patternFill>
          <fgColor indexed="64"/>
          <bgColor indexed="65"/>
        </patternFill>
      </fill>
      <alignment horizontal="general" vertical="center"/>
    </dxf>
    <dxf>
      <numFmt numFmtId="30" formatCode="@"/>
      <alignment horizontal="general" vertical="center"/>
    </dxf>
    <dxf>
      <numFmt numFmtId="30" formatCode="@"/>
      <alignment horizontal="general" vertical="center"/>
    </dxf>
    <dxf>
      <numFmt numFmtId="30" formatCode="@"/>
      <fill>
        <patternFill>
          <fgColor indexed="64"/>
          <bgColor indexed="65"/>
        </patternFill>
      </fill>
      <alignment horizontal="general" vertical="center"/>
    </dxf>
    <dxf>
      <numFmt numFmtId="30" formatCode="@"/>
      <fill>
        <patternFill>
          <fgColor indexed="64"/>
          <bgColor indexed="65"/>
        </patternFill>
      </fill>
      <alignment horizontal="general" vertical="center"/>
    </dxf>
    <dxf>
      <numFmt numFmtId="30" formatCode="@"/>
      <alignment horizontal="general" vertical="center" wrapText="1"/>
    </dxf>
    <dxf>
      <numFmt numFmtId="0" formatCode="General"/>
      <alignment horizontal="general" vertical="center"/>
    </dxf>
    <dxf>
      <numFmt numFmtId="0" formatCode="General"/>
      <alignment horizontal="general" vertical="center"/>
    </dxf>
    <dxf>
      <numFmt numFmtId="30" formatCode="@"/>
      <alignment horizontal="general" vertical="center"/>
    </dxf>
    <dxf>
      <numFmt numFmtId="30" formatCode="@"/>
      <fill>
        <patternFill>
          <fgColor indexed="64"/>
          <bgColor indexed="65"/>
        </patternFill>
      </fill>
      <alignment horizontal="general" vertical="center"/>
    </dxf>
    <dxf>
      <numFmt numFmtId="30" formatCode="@"/>
      <fill>
        <patternFill>
          <fgColor indexed="64"/>
          <bgColor indexed="65"/>
        </patternFill>
      </fill>
      <alignment horizontal="general" vertical="center"/>
    </dxf>
    <dxf>
      <numFmt numFmtId="30" formatCode="@"/>
      <alignment horizontal="general" vertical="center"/>
      <protection locked="0" hidden="0"/>
    </dxf>
    <dxf>
      <alignment horizontal="general" vertical="center" wrapText="1"/>
    </dxf>
    <dxf>
      <numFmt numFmtId="30" formatCode="@"/>
      <alignment horizontal="center" vertical="center" wrapText="1"/>
    </dxf>
    <dxf>
      <fill>
        <patternFill>
          <bgColor auto="1"/>
        </patternFill>
      </fill>
      <alignment horizontal="general" vertical="center"/>
    </dxf>
    <dxf>
      <fill>
        <patternFill>
          <bgColor auto="1"/>
        </patternFill>
      </fill>
      <alignment horizontal="general" vertical="center"/>
    </dxf>
    <dxf>
      <alignment horizontal="center" vertical="center" wrapText="1"/>
    </dxf>
    <dxf>
      <fill>
        <patternFill>
          <bgColor auto="1"/>
        </patternFill>
      </fill>
      <alignment horizontal="general" vertical="center"/>
    </dxf>
    <dxf>
      <fill>
        <patternFill>
          <bgColor auto="1"/>
        </patternFill>
      </fill>
      <alignment horizontal="general" vertical="center"/>
    </dxf>
    <dxf>
      <fill>
        <patternFill>
          <bgColor auto="1"/>
        </patternFill>
      </fill>
      <alignment horizontal="general" vertical="center" wrapText="1"/>
    </dxf>
    <dxf>
      <alignment horizontal="general" vertical="center"/>
    </dxf>
    <dxf>
      <numFmt numFmtId="0" formatCode="General"/>
      <fill>
        <patternFill>
          <bgColor auto="1"/>
        </patternFill>
      </fill>
      <alignment horizontal="general" vertical="center"/>
    </dxf>
    <dxf>
      <fill>
        <patternFill>
          <bgColor auto="1"/>
        </patternFill>
      </fill>
      <alignment horizontal="general" vertical="center"/>
    </dxf>
    <dxf>
      <alignment horizontal="center" vertical="center"/>
    </dxf>
    <dxf>
      <alignment vertical="center"/>
    </dxf>
    <dxf>
      <alignment horizontal="right" vertical="center"/>
    </dxf>
    <dxf>
      <alignment vertical="center"/>
    </dxf>
    <dxf>
      <alignment vertical="center"/>
    </dxf>
    <dxf>
      <fill>
        <patternFill patternType="solid">
          <fgColor indexed="64"/>
          <bgColor theme="1" tint="0.34998626667073579"/>
        </patternFill>
      </fill>
      <alignment horizontal="center" vertical="bottom"/>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テーブル1" displayName="テーブル1" ref="A1:B15" totalsRowShown="0">
  <autoFilter ref="A1:B15" xr:uid="{00000000-0009-0000-0100-000001000000}"/>
  <tableColumns count="2">
    <tableColumn id="1" xr3:uid="{00000000-0010-0000-0000-000001000000}" name="データパターン"/>
    <tableColumn id="2" xr3:uid="{00000000-0010-0000-0000-000002000000}" name="enumVal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テーブル47" displayName="テーブル47" ref="A1:C9" totalsRowShown="0">
  <autoFilter ref="A1:C9" xr:uid="{00000000-0009-0000-0100-000002000000}"/>
  <tableColumns count="3">
    <tableColumn id="1" xr3:uid="{00000000-0010-0000-0100-000001000000}" name="FK種類（日本語）"/>
    <tableColumn id="2" xr3:uid="{00000000-0010-0000-0100-000002000000}" name="FK種類"/>
    <tableColumn id="3" xr3:uid="{00000000-0010-0000-0100-000003000000}" name="方向"/>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テーブル5" displayName="テーブル5" ref="A3:D39" totalsRowShown="0" headerRowDxfId="126" dataDxfId="125">
  <autoFilter ref="A3:D39" xr:uid="{00000000-0009-0000-0100-000003000000}"/>
  <tableColumns count="4">
    <tableColumn id="1" xr3:uid="{00000000-0010-0000-0200-000001000000}" name="日付" dataDxfId="124"/>
    <tableColumn id="2" xr3:uid="{00000000-0010-0000-0200-000002000000}" name="バージョン" dataDxfId="123"/>
    <tableColumn id="3" xr3:uid="{00000000-0010-0000-0200-000003000000}" name="修正事項" dataDxfId="122"/>
    <tableColumn id="4" xr3:uid="{00000000-0010-0000-0200-000004000000}" name="修正者" dataDxfId="12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テーブル50" displayName="テーブル50" ref="A5:H28" totalsRowShown="0" dataDxfId="120">
  <autoFilter ref="A5:H28" xr:uid="{00000000-0009-0000-0100-000004000000}"/>
  <tableColumns count="8">
    <tableColumn id="1" xr3:uid="{00000000-0010-0000-0300-000001000000}" name="#" dataDxfId="119">
      <calculatedColumnFormula>ROW()-5</calculatedColumnFormula>
    </tableColumn>
    <tableColumn id="8" xr3:uid="{00000000-0010-0000-0300-000008000000}" name="分類" dataDxfId="118"/>
    <tableColumn id="2" xr3:uid="{00000000-0010-0000-0300-000002000000}" name="分類名" dataDxfId="117"/>
    <tableColumn id="3" xr3:uid="{00000000-0010-0000-0300-000003000000}" name="項目" dataDxfId="116"/>
    <tableColumn id="4" xr3:uid="{00000000-0010-0000-0300-000004000000}" name="説明" dataDxfId="115"/>
    <tableColumn id="9" xr3:uid="{00000000-0010-0000-0300-000009000000}" name="必須" dataDxfId="114"/>
    <tableColumn id="5" xr3:uid="{00000000-0010-0000-0300-000005000000}" name="値" dataDxfId="113"/>
    <tableColumn id="6" xr3:uid="{00000000-0010-0000-0300-000006000000}" name="備考" dataDxfId="11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テーブル2" displayName="テーブル2" ref="A7:T10" tableType="xml" totalsRowShown="0" headerRowDxfId="111" dataDxfId="110">
  <tableColumns count="20">
    <tableColumn id="1" xr3:uid="{00000000-0010-0000-0400-000001000000}" uniqueName="name" name="DataType名" dataDxfId="109">
      <xmlColumnPr mapId="191" xpath="/root/datatype/@name" xmlDataType="string"/>
    </tableColumn>
    <tableColumn id="3" xr3:uid="{00000000-0010-0000-0400-000003000000}" uniqueName="kata" name="型" dataDxfId="0">
      <xmlColumnPr mapId="191" xpath="/root/datatype/kata" xmlDataType="string"/>
    </tableColumn>
    <tableColumn id="4" xr3:uid="{00000000-0010-0000-0400-000004000000}" uniqueName="minLength" name="長さ最小" dataDxfId="108">
      <xmlColumnPr mapId="191" xpath="/root/datatype/minLength" xmlDataType="string"/>
    </tableColumn>
    <tableColumn id="11" xr3:uid="{00000000-0010-0000-0400-00000B000000}" uniqueName="maxLength" name="長さ最大" dataDxfId="107">
      <xmlColumnPr mapId="191" xpath="/root/datatype/maxLength" xmlDataType="string"/>
    </tableColumn>
    <tableColumn id="15" xr3:uid="{00000000-0010-0000-0400-00000F000000}" uniqueName="numScale" name="データパターン（日本語）" dataDxfId="106"/>
    <tableColumn id="24" xr3:uid="{00000000-0010-0000-0400-000018000000}" uniqueName="stringDataPtn" name="データパターン" dataDxfId="105">
      <calculatedColumnFormula>IF(テーブル2[[#This Row],[データパターン（日本語）]]="", "", VLOOKUP(テーブル2[[#This Row],[データパターン（日本語）]],dataType・データパターン一覧!A:B,2,FALSE))</calculatedColumnFormula>
      <xmlColumnPr mapId="191" xpath="/root/datatype/stringDataPtn" xmlDataType="string"/>
    </tableColumn>
    <tableColumn id="18" xr3:uid="{00000000-0010-0000-0400-000012000000}" uniqueName="18" name="禁則文字チェック除外" dataDxfId="104"/>
    <tableColumn id="25" xr3:uid="{00000000-0010-0000-0400-000019000000}" uniqueName="stringRegEx" name="正規表現" dataDxfId="103">
      <xmlColumnPr mapId="191" xpath="/root/datatype/stringRegEx" xmlDataType="string"/>
    </tableColumn>
    <tableColumn id="9" xr3:uid="{00000000-0010-0000-0400-000009000000}" uniqueName="numMinVal" name="最小値" dataDxfId="102">
      <xmlColumnPr mapId="191" xpath="/root/datatype/numMinVal" xmlDataType="string"/>
    </tableColumn>
    <tableColumn id="10" xr3:uid="{00000000-0010-0000-0400-00000A000000}" uniqueName="numMaxVal" name="最大値" dataDxfId="101">
      <xmlColumnPr mapId="191" xpath="/root/datatype/numMaxVal" xmlDataType="string"/>
    </tableColumn>
    <tableColumn id="12" xr3:uid="{00000000-0010-0000-0400-00000C000000}" uniqueName="numDigitInteger" name="整数部桁数" dataDxfId="100">
      <xmlColumnPr mapId="191" xpath="/root/datatype/numDigitInteger" xmlDataType="string"/>
    </tableColumn>
    <tableColumn id="13" xr3:uid="{00000000-0010-0000-0400-00000D000000}" uniqueName="numDigitFraction" name="小数部桁数" dataDxfId="99">
      <xmlColumnPr mapId="191" xpath="/root/datatype/numDigitFraction" xmlDataType="string"/>
    </tableColumn>
    <tableColumn id="5" xr3:uid="{00000000-0010-0000-0400-000005000000}" uniqueName="enumCodeLength" name="コードの長さ" dataDxfId="98">
      <xmlColumnPr mapId="191" xpath="/root/datatype/enumCodeLength" xmlDataType="string"/>
    </tableColumn>
    <tableColumn id="14" xr3:uid="{00000000-0010-0000-0400-00000E000000}" uniqueName="notNeedsTimezone" name="timezoneなし" dataDxfId="97">
      <xmlColumnPr mapId="191" xpath="/root/datatype/notNeedsTimezone" xmlDataType="string"/>
    </tableColumn>
    <tableColumn id="6" xr3:uid="{32E02FBD-5027-4A40-BA10-F9FF39A85779}" uniqueName="6" name="最大バイト数[MB]" dataDxfId="96"/>
    <tableColumn id="16" xr3:uid="{00000000-0010-0000-0400-000010000000}" uniqueName="javadoc" name="備考" dataDxfId="95">
      <xmlColumnPr mapId="191" xpath="/root/datatype/javadoc" xmlDataType="string"/>
    </tableColumn>
    <tableColumn id="2" xr3:uid="{00000000-0010-0000-0400-000002000000}" uniqueName="2" name="パターン説明（デフォルト言語）" dataDxfId="94"/>
    <tableColumn id="19" xr3:uid="{00000000-0010-0000-0400-000013000000}" uniqueName="19" name="パターン説明（追加言語1）" dataDxfId="93"/>
    <tableColumn id="20" xr3:uid="{00000000-0010-0000-0400-000014000000}" uniqueName="20" name="パターン説明（追加言語2）" dataDxfId="92"/>
    <tableColumn id="21" xr3:uid="{00000000-0010-0000-0400-000015000000}" uniqueName="21" name="パターン説明（追加言語）" dataDxfId="9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テーブル4" displayName="テーブル4" ref="A6:I9" tableType="xml" totalsRowShown="0" headerRowDxfId="90" dataDxfId="89">
  <autoFilter ref="A6:I9" xr:uid="{00000000-0009-0000-0100-000006000000}"/>
  <tableColumns count="9">
    <tableColumn id="1" xr3:uid="{00000000-0010-0000-0500-000001000000}" uniqueName="dataTypeName" name="DataType名" dataDxfId="88">
      <xmlColumnPr mapId="132" xpath="/root/enum/dataTypeName" xmlDataType="string"/>
    </tableColumn>
    <tableColumn id="8" xr3:uid="{00000000-0010-0000-0500-000008000000}" uniqueName="8" name="code" dataDxfId="87"/>
    <tableColumn id="5" xr3:uid="{00000000-0010-0000-0500-000005000000}" uniqueName="varName" name="varName" dataDxfId="86">
      <xmlColumnPr mapId="132" xpath="/root/enum/varName" xmlDataType="string"/>
    </tableColumn>
    <tableColumn id="10" xr3:uid="{00000000-0010-0000-0500-00000A000000}" uniqueName="10" name="javaのみ" dataDxfId="85"/>
    <tableColumn id="12" xr3:uid="{00000000-0010-0000-0500-00000C000000}" uniqueName="javadoc-value" name="備考" dataDxfId="84">
      <xmlColumnPr mapId="132" xpath="/root/enum/javadoc-value" xmlDataType="string"/>
    </tableColumn>
    <tableColumn id="9" xr3:uid="{00000000-0010-0000-0500-000009000000}" uniqueName="9" name="表示名（デフォルト言語）" dataDxfId="83"/>
    <tableColumn id="4" xr3:uid="{00000000-0010-0000-0500-000004000000}" uniqueName="dispNameAddLang1" name="表示名（追加言語1）" dataDxfId="82">
      <xmlColumnPr mapId="132" xpath="/root/enum/dispNameAddLang1" xmlDataType="string"/>
    </tableColumn>
    <tableColumn id="6" xr3:uid="{00000000-0010-0000-0500-000006000000}" uniqueName="dispNameAddLang2" name="表示名（追加言語2）" dataDxfId="81">
      <xmlColumnPr mapId="132" xpath="/root/enum/dispNameAddLang2" xmlDataType="string"/>
    </tableColumn>
    <tableColumn id="7" xr3:uid="{00000000-0010-0000-0500-000007000000}" uniqueName="dispNameAddLang3" name="表示名（追加言語3）" dataDxfId="80">
      <xmlColumnPr mapId="132" xpath="/root/enum/dispNameAddLang3" xmlDataType="string"/>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テーブル7" displayName="テーブル7" ref="A5:AL9" tableType="xml" totalsRowShown="0" headerRowDxfId="79" dataDxfId="78">
  <autoFilter ref="A5:AL9" xr:uid="{00000000-0009-0000-0100-000007000000}"/>
  <tableColumns count="38">
    <tableColumn id="1" xr3:uid="{00000000-0010-0000-0600-000001000000}" uniqueName="table" name="テーブル名" dataDxfId="77">
      <xmlColumnPr mapId="161" xpath="/root/column/table" xmlDataType="string"/>
    </tableColumn>
    <tableColumn id="2" xr3:uid="{00000000-0010-0000-0600-000002000000}" uniqueName="name" name="カラム名" dataDxfId="76">
      <xmlColumnPr mapId="161" xpath="/root/column/@name" xmlDataType="string"/>
    </tableColumn>
    <tableColumn id="15" xr3:uid="{00000000-0010-0000-0600-00000F000000}" uniqueName="dataType" name="dataType" dataDxfId="75">
      <xmlColumnPr mapId="161" xpath="/root/column/dataType" xmlDataType="string"/>
    </tableColumn>
    <tableColumn id="16" xr3:uid="{00000000-0010-0000-0600-000010000000}" uniqueName="16" name="dataType存在確認" dataDxfId="74">
      <calculatedColumnFormula>IF(テーブル7[[#This Row],[dataType]]="","",IF(NOT(ISNA(VLOOKUP(テーブル7[[#This Row],[dataType]], dataType定義!A:A, 1,FALSE))), "○", "×"))</calculatedColumnFormula>
    </tableColumn>
    <tableColumn id="28" xr3:uid="{00000000-0010-0000-0600-00001C000000}" uniqueName="28" name="javaのみ" dataDxfId="73"/>
    <tableColumn id="6" xr3:uid="{00000000-0010-0000-0600-000006000000}" uniqueName="pk" name="Surrogate key " dataDxfId="72">
      <xmlColumnPr mapId="161" xpath="/root/column/pk" xmlDataType="string"/>
    </tableColumn>
    <tableColumn id="29" xr3:uid="{00000000-0010-0000-0600-00001D000000}" uniqueName="29" name="natural key (unique key)" dataDxfId="71"/>
    <tableColumn id="8" xr3:uid="{00000000-0010-0000-0600-000008000000}" uniqueName="nullable" name="nullable" dataDxfId="70">
      <xmlColumnPr mapId="161" xpath="/root/column/nullable" xmlDataType="string"/>
    </tableColumn>
    <tableColumn id="10" xr3:uid="{00000000-0010-0000-0600-00000A000000}" uniqueName="autoIncrement" name="自動採番" dataDxfId="69">
      <xmlColumnPr mapId="161" xpath="/root/column/autoIncrement" xmlDataType="string"/>
    </tableColumn>
    <tableColumn id="21" xr3:uid="{00000000-0010-0000-0600-000015000000}" uniqueName="forcedIncrement" name="強制採番" dataDxfId="68">
      <xmlColumnPr mapId="161" xpath="/root/column/forcedIncrement" xmlDataType="string"/>
    </tableColumn>
    <tableColumn id="11" xr3:uid="{00000000-0010-0000-0600-00000B000000}" uniqueName="autoUpdate" name="自動更新" dataDxfId="67">
      <xmlColumnPr mapId="161" xpath="/root/column/autoUpdate" xmlDataType="string"/>
    </tableColumn>
    <tableColumn id="20" xr3:uid="{00000000-0010-0000-0600-000014000000}" uniqueName="forcedUpdate" name="強制更新" dataDxfId="66">
      <xmlColumnPr mapId="161" xpath="/root/column/forcedUpdate" xmlDataType="string"/>
    </tableColumn>
    <tableColumn id="12" xr3:uid="{00000000-0010-0000-0600-00000C000000}" uniqueName="valueChangeMethod" name="グループ識別項目" dataDxfId="65">
      <xmlColumnPr mapId="161" xpath="/root/column/valueChangeMethod" xmlDataType="string"/>
    </tableColumn>
    <tableColumn id="18" xr3:uid="{00000000-0010-0000-0600-000012000000}" uniqueName="updatedValue" name="SPRING監査" dataDxfId="64">
      <xmlColumnPr mapId="161" xpath="/root/column/updatedValue" xmlDataType="string"/>
    </tableColumn>
    <tableColumn id="19" xr3:uid="{00000000-0010-0000-0600-000013000000}" uniqueName="optLock" name="関連：種類" dataDxfId="63">
      <xmlColumnPr mapId="161" xpath="/root/column/optLock" xmlDataType="string"/>
    </tableColumn>
    <tableColumn id="22" xr3:uid="{00000000-0010-0000-0600-000016000000}" uniqueName="22" name="関連：direction" dataDxfId="62"/>
    <tableColumn id="26" xr3:uid="{00000000-0010-0000-0600-00001A000000}" uniqueName="26" name="関連：参照元変数名" dataDxfId="61"/>
    <tableColumn id="30" xr3:uid="{5A9AA2EE-4621-8F41-8558-DC101287E367}" uniqueName="30" name="関連：参照元変数itemNameKeyClass" dataDxfId="60"/>
    <tableColumn id="23" xr3:uid="{00000000-0010-0000-0600-000017000000}" uniqueName="23" name="関連：参照先テーブル" dataDxfId="59"/>
    <tableColumn id="24" xr3:uid="{00000000-0010-0000-0600-000018000000}" uniqueName="24" name="関連：参照先カラム" dataDxfId="58"/>
    <tableColumn id="27" xr3:uid="{00000000-0010-0000-0600-00001B000000}" uniqueName="27" name="関連：参照先変数名" dataDxfId="57"/>
    <tableColumn id="31" xr3:uid="{E81A02AD-8596-4D46-814C-6DF696078275}" uniqueName="31" name="関連：参照先変数itemNameKeyClass" dataDxfId="56"/>
    <tableColumn id="25" xr3:uid="{00000000-0010-0000-0600-000019000000}" uniqueName="25" name="関連：eager" dataDxfId="55"/>
    <tableColumn id="17" xr3:uid="{00000000-0010-0000-0600-000011000000}" uniqueName="index1" name="index1" dataDxfId="54">
      <xmlColumnPr mapId="161" xpath="/root/column/index1" xmlDataType="string"/>
    </tableColumn>
    <tableColumn id="14" xr3:uid="{00000000-0010-0000-0600-00000E000000}" uniqueName="index2" name="index2" dataDxfId="53">
      <xmlColumnPr mapId="161" xpath="/root/column/index2" xmlDataType="string"/>
    </tableColumn>
    <tableColumn id="13" xr3:uid="{00000000-0010-0000-0600-00000D000000}" uniqueName="index3" name="index3" dataDxfId="52">
      <xmlColumnPr mapId="161" xpath="/root/column/index3" xmlDataType="string"/>
    </tableColumn>
    <tableColumn id="34" xr3:uid="{00000000-0010-0000-0600-000022000000}" uniqueName="34" name="index4" dataDxfId="51"/>
    <tableColumn id="35" xr3:uid="{00000000-0010-0000-0600-000023000000}" uniqueName="35" name="index5" dataDxfId="50"/>
    <tableColumn id="36" xr3:uid="{00000000-0010-0000-0600-000024000000}" uniqueName="36" name="index6" dataDxfId="49"/>
    <tableColumn id="37" xr3:uid="{00000000-0010-0000-0600-000025000000}" uniqueName="37" name="index7" dataDxfId="48"/>
    <tableColumn id="38" xr3:uid="{00000000-0010-0000-0600-000026000000}" uniqueName="38" name="index8" dataDxfId="47"/>
    <tableColumn id="39" xr3:uid="{00000000-0010-0000-0600-000027000000}" uniqueName="39" name="index9" dataDxfId="46"/>
    <tableColumn id="40" xr3:uid="{00000000-0010-0000-0600-000028000000}" uniqueName="40" name="index10" dataDxfId="45"/>
    <tableColumn id="5" xr3:uid="{00000000-0010-0000-0600-000005000000}" uniqueName="dispNameAddLang1" name="備考" dataDxfId="44"/>
    <tableColumn id="9" xr3:uid="{00000000-0010-0000-0600-000009000000}" uniqueName="9" name="カラム表示名（デフォルト言語）" dataDxfId="43"/>
    <tableColumn id="3" xr3:uid="{00000000-0010-0000-0600-000003000000}" uniqueName="dispNameAddLang1" name="カラム表示名（追加言語1）" dataDxfId="42">
      <xmlColumnPr mapId="161" xpath="/root/column/dispNameAddLang1" xmlDataType="string"/>
    </tableColumn>
    <tableColumn id="4" xr3:uid="{00000000-0010-0000-0600-000004000000}" uniqueName="dispNameAddLang2" name="カラム表示名（追加言語2）" dataDxfId="41">
      <xmlColumnPr mapId="161" xpath="/root/column/dispNameAddLang2" xmlDataType="string"/>
    </tableColumn>
    <tableColumn id="7" xr3:uid="{00000000-0010-0000-0600-000007000000}" uniqueName="dispNameAddLang3" name="カラム表示名（追加言語3）" dataDxfId="40">
      <xmlColumnPr mapId="161" xpath="/root/column/dispNameAddLang3" xmlDataType="string"/>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テーブル74" displayName="テーブル74" ref="A5:AL8" totalsRowShown="0" headerRowDxfId="39" dataDxfId="38">
  <autoFilter ref="A5:AL8" xr:uid="{00000000-0009-0000-0100-000008000000}"/>
  <tableColumns count="38">
    <tableColumn id="1" xr3:uid="{00000000-0010-0000-0700-000001000000}" name="テーブル名" dataDxfId="37"/>
    <tableColumn id="2" xr3:uid="{00000000-0010-0000-0700-000002000000}" name="カラム名" dataDxfId="36"/>
    <tableColumn id="15" xr3:uid="{00000000-0010-0000-0700-00000F000000}" name="dataType" dataDxfId="35"/>
    <tableColumn id="16" xr3:uid="{00000000-0010-0000-0700-000010000000}" name="dataType存在確認" dataDxfId="34">
      <calculatedColumnFormula>IF(C6="","",IF(テーブル74[[#This Row],[dataType]]="","",IF(NOT(ISNA(VLOOKUP(テーブル74[[#This Row],[dataType]], dataType定義!A:A, 1,FALSE))), "○", "×")))</calculatedColumnFormula>
    </tableColumn>
    <tableColumn id="28" xr3:uid="{00000000-0010-0000-0700-00001C000000}" name="javaのみ" dataDxfId="33"/>
    <tableColumn id="6" xr3:uid="{00000000-0010-0000-0700-000006000000}" name="Surrogate key " dataDxfId="32"/>
    <tableColumn id="9" xr3:uid="{00000000-0010-0000-0700-000009000000}" name="natural key (unique key)"/>
    <tableColumn id="8" xr3:uid="{00000000-0010-0000-0700-000008000000}" name="nullable" dataDxfId="31"/>
    <tableColumn id="10" xr3:uid="{00000000-0010-0000-0700-00000A000000}" name="自動採番" dataDxfId="30"/>
    <tableColumn id="21" xr3:uid="{00000000-0010-0000-0700-000015000000}" name="強制採番" dataDxfId="29"/>
    <tableColumn id="11" xr3:uid="{00000000-0010-0000-0700-00000B000000}" name="自動更新" dataDxfId="28"/>
    <tableColumn id="20" xr3:uid="{00000000-0010-0000-0700-000014000000}" name="強制更新" dataDxfId="27"/>
    <tableColumn id="12" xr3:uid="{00000000-0010-0000-0700-00000C000000}" name="グループ識別項目" dataDxfId="26"/>
    <tableColumn id="18" xr3:uid="{00000000-0010-0000-0700-000012000000}" name="SPRING監査" dataDxfId="25"/>
    <tableColumn id="19" xr3:uid="{00000000-0010-0000-0700-000013000000}" name="関連：種類" dataDxfId="24"/>
    <tableColumn id="22" xr3:uid="{00000000-0010-0000-0700-000016000000}" name="関連：direction" dataDxfId="23"/>
    <tableColumn id="26" xr3:uid="{00000000-0010-0000-0700-00001A000000}" name="関連：参照元変数名" dataDxfId="22"/>
    <tableColumn id="29" xr3:uid="{8F9BEFCA-73D4-F641-A356-ABA79D5CBDF7}" name="関連：参照元変数itemNameKeyClass" dataDxfId="21"/>
    <tableColumn id="23" xr3:uid="{00000000-0010-0000-0700-000017000000}" name="関連：参照先テーブル" dataDxfId="20"/>
    <tableColumn id="24" xr3:uid="{00000000-0010-0000-0700-000018000000}" name="関連：参照先カラム" dataDxfId="19"/>
    <tableColumn id="27" xr3:uid="{00000000-0010-0000-0700-00001B000000}" name="関連：参照先変数名" dataDxfId="18"/>
    <tableColumn id="30" xr3:uid="{9B4BCFDB-122E-A545-94F1-44AB69834AD9}" name="関連：参照先変数itemNameKeyClass" dataDxfId="17"/>
    <tableColumn id="25" xr3:uid="{00000000-0010-0000-0700-000019000000}" name="関連：eager" dataDxfId="16"/>
    <tableColumn id="17" xr3:uid="{00000000-0010-0000-0700-000011000000}" name="index1" dataDxfId="15"/>
    <tableColumn id="14" xr3:uid="{00000000-0010-0000-0700-00000E000000}" name="index2" dataDxfId="14"/>
    <tableColumn id="13" xr3:uid="{00000000-0010-0000-0700-00000D000000}" name="index3" dataDxfId="13"/>
    <tableColumn id="33" xr3:uid="{00000000-0010-0000-0700-000021000000}" name="index4" dataDxfId="12"/>
    <tableColumn id="34" xr3:uid="{00000000-0010-0000-0700-000022000000}" name="index5" dataDxfId="11"/>
    <tableColumn id="35" xr3:uid="{00000000-0010-0000-0700-000023000000}" name="index6" dataDxfId="10"/>
    <tableColumn id="36" xr3:uid="{00000000-0010-0000-0700-000024000000}" name="index7" dataDxfId="9"/>
    <tableColumn id="37" xr3:uid="{00000000-0010-0000-0700-000025000000}" name="index8" dataDxfId="8"/>
    <tableColumn id="38" xr3:uid="{00000000-0010-0000-0700-000026000000}" name="index9" dataDxfId="7"/>
    <tableColumn id="39" xr3:uid="{00000000-0010-0000-0700-000027000000}" name="index10" dataDxfId="6"/>
    <tableColumn id="5" xr3:uid="{00000000-0010-0000-0700-000005000000}" name="備考" dataDxfId="5"/>
    <tableColumn id="32" xr3:uid="{00000000-0010-0000-0700-000020000000}" name="カラム表示名（デフォルト言語）" dataDxfId="4"/>
    <tableColumn id="3" xr3:uid="{00000000-0010-0000-0700-000003000000}" name="カラム表示名（追加言語1）" dataDxfId="3"/>
    <tableColumn id="4" xr3:uid="{00000000-0010-0000-0700-000004000000}" name="カラム表示名（追加言語2）" dataDxfId="2"/>
    <tableColumn id="7" xr3:uid="{00000000-0010-0000-0700-000007000000}" name="カラム表示名（追加言語3）" dataDxfId="1"/>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5.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
  <sheetViews>
    <sheetView workbookViewId="0">
      <selection activeCell="B19" sqref="B19"/>
    </sheetView>
  </sheetViews>
  <sheetFormatPr baseColWidth="10" defaultColWidth="8.83203125" defaultRowHeight="15"/>
  <cols>
    <col min="1" max="1" width="21.33203125" customWidth="1"/>
    <col min="2" max="2" width="12.83203125" bestFit="1" customWidth="1"/>
    <col min="3" max="3" width="30.1640625" customWidth="1"/>
  </cols>
  <sheetData>
    <row r="1" spans="1:3">
      <c r="A1" s="107" t="s">
        <v>41</v>
      </c>
      <c r="B1" s="108"/>
      <c r="C1" s="109"/>
    </row>
    <row r="2" spans="1:3">
      <c r="A2" s="103" t="s">
        <v>42</v>
      </c>
      <c r="B2" s="103" t="s">
        <v>43</v>
      </c>
      <c r="C2" s="103" t="s">
        <v>44</v>
      </c>
    </row>
    <row r="3" spans="1:3">
      <c r="A3" s="102" t="s">
        <v>45</v>
      </c>
      <c r="B3" s="18" t="s">
        <v>46</v>
      </c>
      <c r="C3" s="19" t="s">
        <v>47</v>
      </c>
    </row>
    <row r="4" spans="1:3">
      <c r="A4" s="102" t="s">
        <v>48</v>
      </c>
      <c r="B4" s="18" t="s">
        <v>49</v>
      </c>
      <c r="C4" s="19"/>
    </row>
    <row r="5" spans="1:3">
      <c r="A5" s="102" t="s">
        <v>50</v>
      </c>
      <c r="B5" s="18" t="s">
        <v>51</v>
      </c>
      <c r="C5" s="19"/>
    </row>
    <row r="6" spans="1:3">
      <c r="A6" s="102" t="s">
        <v>52</v>
      </c>
      <c r="B6" s="18" t="s">
        <v>53</v>
      </c>
      <c r="C6" s="19"/>
    </row>
    <row r="7" spans="1:3">
      <c r="A7" s="102" t="s">
        <v>54</v>
      </c>
      <c r="B7" s="18" t="s">
        <v>55</v>
      </c>
      <c r="C7" s="19"/>
    </row>
    <row r="8" spans="1:3">
      <c r="A8" s="102" t="s">
        <v>56</v>
      </c>
      <c r="B8" s="18" t="s">
        <v>57</v>
      </c>
      <c r="C8" s="19"/>
    </row>
    <row r="9" spans="1:3">
      <c r="A9" s="102" t="s">
        <v>58</v>
      </c>
      <c r="B9" s="18" t="s">
        <v>59</v>
      </c>
      <c r="C9" s="19"/>
    </row>
    <row r="10" spans="1:3">
      <c r="A10" s="102" t="s">
        <v>60</v>
      </c>
      <c r="B10" s="18" t="s">
        <v>61</v>
      </c>
      <c r="C10" s="19"/>
    </row>
    <row r="11" spans="1:3">
      <c r="A11" s="102" t="s">
        <v>62</v>
      </c>
      <c r="B11" s="18" t="s">
        <v>63</v>
      </c>
      <c r="C11" s="19"/>
    </row>
    <row r="12" spans="1:3">
      <c r="A12" s="102" t="s">
        <v>64</v>
      </c>
      <c r="B12" s="18" t="s">
        <v>65</v>
      </c>
      <c r="C12" s="19"/>
    </row>
    <row r="13" spans="1:3">
      <c r="A13" s="102" t="s">
        <v>66</v>
      </c>
      <c r="B13" s="18" t="s">
        <v>67</v>
      </c>
      <c r="C13" s="19"/>
    </row>
    <row r="14" spans="1:3">
      <c r="A14" s="102" t="s">
        <v>68</v>
      </c>
      <c r="B14" s="18" t="s">
        <v>69</v>
      </c>
      <c r="C14" s="19"/>
    </row>
    <row r="15" spans="1:3">
      <c r="A15" s="102" t="s">
        <v>70</v>
      </c>
      <c r="B15" s="18" t="s">
        <v>71</v>
      </c>
      <c r="C15" s="19"/>
    </row>
    <row r="16" spans="1:3">
      <c r="A16" s="102" t="s">
        <v>72</v>
      </c>
      <c r="B16" s="18" t="s">
        <v>73</v>
      </c>
      <c r="C16" s="19"/>
    </row>
    <row r="17" spans="1:3">
      <c r="A17" s="19"/>
      <c r="B17" s="18" t="s">
        <v>74</v>
      </c>
      <c r="C17" s="19"/>
    </row>
    <row r="18" spans="1:3">
      <c r="A18" s="19"/>
      <c r="B18" s="18" t="s">
        <v>287</v>
      </c>
      <c r="C18" s="19"/>
    </row>
    <row r="19" spans="1:3">
      <c r="B19" s="16"/>
    </row>
    <row r="20" spans="1:3">
      <c r="C20" t="s">
        <v>75</v>
      </c>
    </row>
  </sheetData>
  <mergeCells count="1">
    <mergeCell ref="A1:C1"/>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election activeCell="B26" sqref="B26"/>
    </sheetView>
  </sheetViews>
  <sheetFormatPr baseColWidth="10" defaultColWidth="8.83203125" defaultRowHeight="15"/>
  <cols>
    <col min="1" max="1" width="22" bestFit="1" customWidth="1"/>
    <col min="2" max="2" width="26" customWidth="1"/>
    <col min="3" max="3" width="19.1640625" bestFit="1" customWidth="1"/>
  </cols>
  <sheetData>
    <row r="1" spans="1:2">
      <c r="A1" t="s">
        <v>76</v>
      </c>
      <c r="B1" t="s">
        <v>77</v>
      </c>
    </row>
    <row r="2" spans="1:2">
      <c r="A2" t="s">
        <v>45</v>
      </c>
      <c r="B2" t="s">
        <v>78</v>
      </c>
    </row>
    <row r="3" spans="1:2">
      <c r="A3" t="s">
        <v>50</v>
      </c>
      <c r="B3" t="s">
        <v>79</v>
      </c>
    </row>
    <row r="4" spans="1:2">
      <c r="A4" t="s">
        <v>52</v>
      </c>
      <c r="B4" t="s">
        <v>80</v>
      </c>
    </row>
    <row r="5" spans="1:2">
      <c r="A5" t="s">
        <v>54</v>
      </c>
      <c r="B5" t="s">
        <v>81</v>
      </c>
    </row>
    <row r="6" spans="1:2">
      <c r="A6" t="s">
        <v>56</v>
      </c>
      <c r="B6" t="s">
        <v>82</v>
      </c>
    </row>
    <row r="7" spans="1:2">
      <c r="A7" t="s">
        <v>58</v>
      </c>
      <c r="B7" t="s">
        <v>83</v>
      </c>
    </row>
    <row r="8" spans="1:2">
      <c r="A8" t="s">
        <v>60</v>
      </c>
      <c r="B8" t="s">
        <v>84</v>
      </c>
    </row>
    <row r="9" spans="1:2">
      <c r="A9" t="s">
        <v>62</v>
      </c>
      <c r="B9" t="s">
        <v>85</v>
      </c>
    </row>
    <row r="10" spans="1:2">
      <c r="A10" t="s">
        <v>64</v>
      </c>
      <c r="B10" t="s">
        <v>86</v>
      </c>
    </row>
    <row r="11" spans="1:2">
      <c r="A11" t="s">
        <v>66</v>
      </c>
      <c r="B11" t="s">
        <v>87</v>
      </c>
    </row>
    <row r="12" spans="1:2">
      <c r="A12" t="s">
        <v>68</v>
      </c>
      <c r="B12" t="s">
        <v>88</v>
      </c>
    </row>
    <row r="13" spans="1:2">
      <c r="A13" t="s">
        <v>70</v>
      </c>
      <c r="B13" t="s">
        <v>89</v>
      </c>
    </row>
    <row r="14" spans="1:2">
      <c r="A14" t="s">
        <v>72</v>
      </c>
      <c r="B14" t="s">
        <v>90</v>
      </c>
    </row>
    <row r="15" spans="1:2">
      <c r="A15" t="s">
        <v>48</v>
      </c>
      <c r="B15" t="s">
        <v>91</v>
      </c>
    </row>
  </sheetData>
  <pageMargins left="0.7" right="0.7" top="0.75" bottom="0.75" header="0.3" footer="0.3"/>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5"/>
  <sheetViews>
    <sheetView workbookViewId="0">
      <selection activeCell="B26" sqref="B26"/>
    </sheetView>
  </sheetViews>
  <sheetFormatPr baseColWidth="10" defaultColWidth="8.83203125" defaultRowHeight="15"/>
  <cols>
    <col min="1" max="1" width="25.1640625" bestFit="1" customWidth="1"/>
    <col min="2" max="2" width="12.1640625" customWidth="1"/>
    <col min="3" max="3" width="12.1640625" bestFit="1" customWidth="1"/>
  </cols>
  <sheetData>
    <row r="1" spans="1:3">
      <c r="A1" t="s">
        <v>92</v>
      </c>
      <c r="B1" t="s">
        <v>93</v>
      </c>
      <c r="C1" t="s">
        <v>94</v>
      </c>
    </row>
    <row r="2" spans="1:3">
      <c r="A2" t="s">
        <v>95</v>
      </c>
      <c r="B2" t="s">
        <v>96</v>
      </c>
      <c r="C2" t="s">
        <v>97</v>
      </c>
    </row>
    <row r="3" spans="1:3">
      <c r="A3" t="s">
        <v>98</v>
      </c>
      <c r="B3" t="s">
        <v>96</v>
      </c>
      <c r="C3" t="s">
        <v>99</v>
      </c>
    </row>
    <row r="4" spans="1:3">
      <c r="A4" t="s">
        <v>100</v>
      </c>
      <c r="B4" t="s">
        <v>101</v>
      </c>
      <c r="C4" t="s">
        <v>97</v>
      </c>
    </row>
    <row r="11" spans="1:3">
      <c r="A11" t="s">
        <v>102</v>
      </c>
    </row>
    <row r="12" spans="1:3">
      <c r="A12" t="s">
        <v>103</v>
      </c>
    </row>
    <row r="13" spans="1:3">
      <c r="A13" s="45" t="s">
        <v>104</v>
      </c>
    </row>
    <row r="14" spans="1:3">
      <c r="A14" t="s">
        <v>105</v>
      </c>
    </row>
    <row r="15" spans="1:3">
      <c r="A15" t="s">
        <v>106</v>
      </c>
    </row>
  </sheetData>
  <pageMargins left="0.7" right="0.7" top="0.75" bottom="0.75" header="0.3" footer="0.3"/>
  <pageSetup paperSize="9"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9"/>
  <sheetViews>
    <sheetView topLeftCell="A38" zoomScaleNormal="100" workbookViewId="0">
      <selection activeCell="B39" sqref="B39"/>
    </sheetView>
  </sheetViews>
  <sheetFormatPr baseColWidth="10" defaultColWidth="8.83203125" defaultRowHeight="15"/>
  <cols>
    <col min="1" max="1" width="11.6640625" customWidth="1"/>
    <col min="2" max="2" width="12.1640625" style="11" bestFit="1" customWidth="1"/>
    <col min="3" max="3" width="113.6640625" customWidth="1"/>
    <col min="4" max="4" width="9" style="10" customWidth="1"/>
  </cols>
  <sheetData>
    <row r="1" spans="1:4">
      <c r="A1" s="12" t="s">
        <v>107</v>
      </c>
    </row>
    <row r="3" spans="1:4">
      <c r="A3" s="64" t="s">
        <v>108</v>
      </c>
      <c r="B3" s="64" t="s">
        <v>109</v>
      </c>
      <c r="C3" s="64" t="s">
        <v>110</v>
      </c>
      <c r="D3" s="64" t="s">
        <v>111</v>
      </c>
    </row>
    <row r="4" spans="1:4">
      <c r="A4" s="13">
        <v>41456</v>
      </c>
      <c r="B4" s="14" t="s">
        <v>112</v>
      </c>
      <c r="C4" s="1" t="s">
        <v>113</v>
      </c>
      <c r="D4" s="4" t="s">
        <v>114</v>
      </c>
    </row>
    <row r="5" spans="1:4">
      <c r="A5" s="13">
        <v>41484</v>
      </c>
      <c r="B5" s="14" t="s">
        <v>115</v>
      </c>
      <c r="C5" s="1" t="s">
        <v>116</v>
      </c>
      <c r="D5" s="4" t="s">
        <v>114</v>
      </c>
    </row>
    <row r="6" spans="1:4">
      <c r="A6" s="13">
        <v>41486</v>
      </c>
      <c r="B6" s="14" t="s">
        <v>117</v>
      </c>
      <c r="C6" s="1" t="s">
        <v>118</v>
      </c>
      <c r="D6" s="4" t="s">
        <v>114</v>
      </c>
    </row>
    <row r="7" spans="1:4" ht="32" customHeight="1">
      <c r="A7" s="13">
        <v>41490</v>
      </c>
      <c r="B7" s="14" t="s">
        <v>119</v>
      </c>
      <c r="C7" s="15" t="s">
        <v>120</v>
      </c>
      <c r="D7" s="4" t="s">
        <v>114</v>
      </c>
    </row>
    <row r="8" spans="1:4">
      <c r="A8" s="13">
        <v>41506</v>
      </c>
      <c r="B8" s="14" t="s">
        <v>121</v>
      </c>
      <c r="C8" s="1" t="s">
        <v>122</v>
      </c>
      <c r="D8" s="4" t="s">
        <v>114</v>
      </c>
    </row>
    <row r="9" spans="1:4" ht="266.25" customHeight="1">
      <c r="A9" s="13">
        <v>41973</v>
      </c>
      <c r="B9" s="14" t="s">
        <v>123</v>
      </c>
      <c r="C9" s="15" t="s">
        <v>124</v>
      </c>
      <c r="D9" s="4" t="s">
        <v>114</v>
      </c>
    </row>
    <row r="10" spans="1:4" ht="32" customHeight="1">
      <c r="A10" s="13">
        <v>41993</v>
      </c>
      <c r="B10" s="14" t="s">
        <v>125</v>
      </c>
      <c r="C10" s="15" t="s">
        <v>126</v>
      </c>
      <c r="D10" s="4" t="s">
        <v>114</v>
      </c>
    </row>
    <row r="11" spans="1:4">
      <c r="A11" s="13">
        <v>41993</v>
      </c>
      <c r="B11" s="14" t="s">
        <v>127</v>
      </c>
      <c r="C11" s="1" t="s">
        <v>128</v>
      </c>
      <c r="D11" s="4" t="s">
        <v>114</v>
      </c>
    </row>
    <row r="12" spans="1:4" ht="48" customHeight="1">
      <c r="A12" s="13">
        <v>42096</v>
      </c>
      <c r="B12" s="14" t="s">
        <v>129</v>
      </c>
      <c r="C12" s="15" t="s">
        <v>130</v>
      </c>
      <c r="D12" s="4" t="s">
        <v>114</v>
      </c>
    </row>
    <row r="13" spans="1:4" ht="32" customHeight="1">
      <c r="A13" s="13">
        <v>42103</v>
      </c>
      <c r="B13" s="14" t="s">
        <v>131</v>
      </c>
      <c r="C13" s="15" t="s">
        <v>132</v>
      </c>
      <c r="D13" s="4" t="s">
        <v>114</v>
      </c>
    </row>
    <row r="14" spans="1:4" ht="32" customHeight="1">
      <c r="A14" s="13">
        <v>42121</v>
      </c>
      <c r="B14" s="14" t="s">
        <v>133</v>
      </c>
      <c r="C14" s="15" t="s">
        <v>134</v>
      </c>
      <c r="D14" s="4" t="s">
        <v>114</v>
      </c>
    </row>
    <row r="15" spans="1:4" ht="48" customHeight="1">
      <c r="A15" s="13">
        <v>42136</v>
      </c>
      <c r="B15" s="14" t="s">
        <v>135</v>
      </c>
      <c r="C15" s="15" t="s">
        <v>136</v>
      </c>
      <c r="D15" s="4" t="s">
        <v>114</v>
      </c>
    </row>
    <row r="16" spans="1:4" ht="80" customHeight="1">
      <c r="A16" s="13">
        <v>42463</v>
      </c>
      <c r="B16" s="14" t="s">
        <v>137</v>
      </c>
      <c r="C16" s="15" t="s">
        <v>138</v>
      </c>
      <c r="D16" s="4" t="s">
        <v>114</v>
      </c>
    </row>
    <row r="17" spans="1:4" ht="80" customHeight="1">
      <c r="A17" s="13">
        <v>43015</v>
      </c>
      <c r="B17" s="14" t="s">
        <v>139</v>
      </c>
      <c r="C17" s="15" t="s">
        <v>140</v>
      </c>
      <c r="D17" s="4" t="s">
        <v>114</v>
      </c>
    </row>
    <row r="18" spans="1:4" ht="32" customHeight="1">
      <c r="A18" s="13">
        <v>43029</v>
      </c>
      <c r="B18" s="14" t="s">
        <v>141</v>
      </c>
      <c r="C18" s="15" t="s">
        <v>142</v>
      </c>
      <c r="D18" s="4" t="s">
        <v>114</v>
      </c>
    </row>
    <row r="19" spans="1:4" ht="80" customHeight="1">
      <c r="A19" s="13">
        <v>43060</v>
      </c>
      <c r="B19" s="14" t="s">
        <v>143</v>
      </c>
      <c r="C19" s="15" t="s">
        <v>144</v>
      </c>
      <c r="D19" s="4" t="s">
        <v>114</v>
      </c>
    </row>
    <row r="20" spans="1:4" ht="48" customHeight="1">
      <c r="A20" s="13">
        <v>43182</v>
      </c>
      <c r="B20" s="14" t="s">
        <v>145</v>
      </c>
      <c r="C20" s="15" t="s">
        <v>146</v>
      </c>
      <c r="D20" s="4" t="s">
        <v>114</v>
      </c>
    </row>
    <row r="21" spans="1:4" ht="96" customHeight="1">
      <c r="A21" s="13">
        <v>43856</v>
      </c>
      <c r="B21" s="14" t="s">
        <v>147</v>
      </c>
      <c r="C21" s="15" t="s">
        <v>148</v>
      </c>
      <c r="D21" s="4" t="s">
        <v>114</v>
      </c>
    </row>
    <row r="22" spans="1:4" ht="32" customHeight="1">
      <c r="A22" s="13">
        <v>44962</v>
      </c>
      <c r="B22" s="14" t="s">
        <v>149</v>
      </c>
      <c r="C22" s="15" t="s">
        <v>150</v>
      </c>
      <c r="D22" s="4" t="s">
        <v>114</v>
      </c>
    </row>
    <row r="23" spans="1:4" ht="112" customHeight="1">
      <c r="A23" s="13">
        <v>44962</v>
      </c>
      <c r="B23" s="14" t="s">
        <v>151</v>
      </c>
      <c r="C23" s="15" t="s">
        <v>152</v>
      </c>
      <c r="D23" s="4" t="s">
        <v>114</v>
      </c>
    </row>
    <row r="24" spans="1:4" ht="16" customHeight="1">
      <c r="A24" s="13">
        <v>45017</v>
      </c>
      <c r="B24" s="14" t="s">
        <v>153</v>
      </c>
      <c r="C24" s="15" t="s">
        <v>154</v>
      </c>
      <c r="D24" s="4" t="s">
        <v>114</v>
      </c>
    </row>
    <row r="25" spans="1:4" ht="176" customHeight="1">
      <c r="A25" s="13">
        <v>45050</v>
      </c>
      <c r="B25" s="14" t="s">
        <v>155</v>
      </c>
      <c r="C25" s="15" t="s">
        <v>156</v>
      </c>
      <c r="D25" s="4" t="s">
        <v>114</v>
      </c>
    </row>
    <row r="26" spans="1:4" ht="32" customHeight="1">
      <c r="A26" s="13">
        <v>45122</v>
      </c>
      <c r="B26" s="14" t="s">
        <v>157</v>
      </c>
      <c r="C26" s="15" t="s">
        <v>158</v>
      </c>
      <c r="D26" s="4" t="s">
        <v>114</v>
      </c>
    </row>
    <row r="27" spans="1:4" ht="160" customHeight="1">
      <c r="A27" s="13">
        <v>45134</v>
      </c>
      <c r="B27" s="14" t="s">
        <v>159</v>
      </c>
      <c r="C27" s="15" t="s">
        <v>160</v>
      </c>
      <c r="D27" s="4" t="s">
        <v>114</v>
      </c>
    </row>
    <row r="28" spans="1:4" ht="64" customHeight="1">
      <c r="A28" s="13">
        <v>45136</v>
      </c>
      <c r="B28" s="14" t="s">
        <v>161</v>
      </c>
      <c r="C28" s="15" t="s">
        <v>162</v>
      </c>
      <c r="D28" s="4" t="s">
        <v>114</v>
      </c>
    </row>
    <row r="29" spans="1:4" ht="160" customHeight="1">
      <c r="A29" s="13">
        <v>45144</v>
      </c>
      <c r="B29" s="14" t="s">
        <v>163</v>
      </c>
      <c r="C29" s="15" t="s">
        <v>164</v>
      </c>
      <c r="D29" s="4" t="s">
        <v>114</v>
      </c>
    </row>
    <row r="30" spans="1:4" ht="112" customHeight="1">
      <c r="A30" s="13">
        <v>45360</v>
      </c>
      <c r="B30" s="14" t="s">
        <v>165</v>
      </c>
      <c r="C30" s="15" t="s">
        <v>166</v>
      </c>
      <c r="D30" s="4" t="s">
        <v>114</v>
      </c>
    </row>
    <row r="31" spans="1:4" ht="112" customHeight="1">
      <c r="A31" s="13">
        <v>45444</v>
      </c>
      <c r="B31" s="14" t="s">
        <v>167</v>
      </c>
      <c r="C31" s="15" t="s">
        <v>168</v>
      </c>
      <c r="D31" s="4" t="s">
        <v>114</v>
      </c>
    </row>
    <row r="32" spans="1:4" ht="112" customHeight="1">
      <c r="A32" s="13">
        <v>45602</v>
      </c>
      <c r="B32" s="14" t="s">
        <v>169</v>
      </c>
      <c r="C32" s="15" t="s">
        <v>170</v>
      </c>
      <c r="D32" s="4" t="s">
        <v>114</v>
      </c>
    </row>
    <row r="33" spans="1:4" ht="192" customHeight="1">
      <c r="A33" s="13">
        <v>45707</v>
      </c>
      <c r="B33" s="14" t="s">
        <v>171</v>
      </c>
      <c r="C33" s="15" t="s">
        <v>172</v>
      </c>
      <c r="D33" s="4" t="s">
        <v>114</v>
      </c>
    </row>
    <row r="34" spans="1:4" ht="240" customHeight="1">
      <c r="A34" s="13">
        <v>45730</v>
      </c>
      <c r="B34" s="14" t="s">
        <v>173</v>
      </c>
      <c r="C34" s="15" t="s">
        <v>174</v>
      </c>
      <c r="D34" s="4" t="s">
        <v>114</v>
      </c>
    </row>
    <row r="35" spans="1:4">
      <c r="A35" s="13">
        <v>45809</v>
      </c>
      <c r="B35" s="14" t="s">
        <v>175</v>
      </c>
      <c r="C35" s="1" t="s">
        <v>176</v>
      </c>
      <c r="D35" s="4" t="s">
        <v>114</v>
      </c>
    </row>
    <row r="36" spans="1:4" ht="112" customHeight="1">
      <c r="A36" s="53">
        <v>46124</v>
      </c>
      <c r="B36" s="14" t="s">
        <v>177</v>
      </c>
      <c r="C36" s="15" t="s">
        <v>178</v>
      </c>
      <c r="D36" s="4" t="s">
        <v>114</v>
      </c>
    </row>
    <row r="37" spans="1:4" ht="409" customHeight="1">
      <c r="A37" s="13">
        <v>46192</v>
      </c>
      <c r="B37" s="14" t="s">
        <v>179</v>
      </c>
      <c r="C37" s="15" t="s">
        <v>180</v>
      </c>
      <c r="D37" s="4" t="s">
        <v>114</v>
      </c>
    </row>
    <row r="38" spans="1:4" ht="224" customHeight="1">
      <c r="A38" s="1" t="s">
        <v>181</v>
      </c>
      <c r="B38" s="14" t="s">
        <v>181</v>
      </c>
      <c r="C38" s="15" t="s">
        <v>182</v>
      </c>
      <c r="D38" s="14" t="s">
        <v>181</v>
      </c>
    </row>
    <row r="39" spans="1:4" ht="261" customHeight="1">
      <c r="A39" s="13">
        <v>46196</v>
      </c>
      <c r="B39" s="14" t="s">
        <v>183</v>
      </c>
      <c r="C39" s="15" t="s">
        <v>288</v>
      </c>
      <c r="D39" s="4" t="s">
        <v>114</v>
      </c>
    </row>
  </sheetData>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8"/>
  <sheetViews>
    <sheetView tabSelected="1" zoomScale="113" zoomScaleNormal="110" workbookViewId="0">
      <pane ySplit="5" topLeftCell="A6" activePane="bottomLeft" state="frozen"/>
      <selection pane="bottomLeft"/>
    </sheetView>
  </sheetViews>
  <sheetFormatPr baseColWidth="10" defaultColWidth="11" defaultRowHeight="15"/>
  <cols>
    <col min="1" max="1" width="4.5" bestFit="1" customWidth="1"/>
    <col min="2" max="2" width="19.33203125" hidden="1" customWidth="1"/>
    <col min="3" max="3" width="16" style="44" customWidth="1"/>
    <col min="4" max="4" width="27.6640625" hidden="1" customWidth="1"/>
    <col min="5" max="5" width="64.33203125" customWidth="1"/>
    <col min="6" max="6" width="7.33203125" bestFit="1" customWidth="1"/>
    <col min="7" max="7" width="30.1640625" bestFit="1" customWidth="1"/>
    <col min="8" max="8" width="48.33203125" customWidth="1"/>
  </cols>
  <sheetData>
    <row r="1" spans="1:8">
      <c r="A1" s="29" t="s">
        <v>184</v>
      </c>
    </row>
    <row r="3" spans="1:8">
      <c r="A3" t="s">
        <v>185</v>
      </c>
    </row>
    <row r="5" spans="1:8" ht="16" customHeight="1">
      <c r="A5" s="54" t="s">
        <v>186</v>
      </c>
      <c r="B5" s="54" t="s">
        <v>187</v>
      </c>
      <c r="C5" s="55" t="s">
        <v>188</v>
      </c>
      <c r="D5" s="54" t="s">
        <v>189</v>
      </c>
      <c r="E5" s="54" t="s">
        <v>190</v>
      </c>
      <c r="F5" s="54" t="s">
        <v>191</v>
      </c>
      <c r="G5" t="s">
        <v>192</v>
      </c>
      <c r="H5" t="s">
        <v>36</v>
      </c>
    </row>
    <row r="6" spans="1:8" ht="16" customHeight="1">
      <c r="A6" s="1">
        <f t="shared" ref="A6:A27" si="0">ROW()-5</f>
        <v>1</v>
      </c>
      <c r="B6" s="1" t="s">
        <v>193</v>
      </c>
      <c r="C6" s="15" t="s">
        <v>194</v>
      </c>
      <c r="D6" s="1" t="s">
        <v>195</v>
      </c>
      <c r="E6" s="15" t="s">
        <v>196</v>
      </c>
      <c r="F6" s="27" t="s">
        <v>197</v>
      </c>
      <c r="G6" s="1" t="s">
        <v>198</v>
      </c>
      <c r="H6" s="1"/>
    </row>
    <row r="7" spans="1:8" ht="32" customHeight="1">
      <c r="A7" s="1">
        <f t="shared" si="0"/>
        <v>2</v>
      </c>
      <c r="B7" s="1" t="s">
        <v>193</v>
      </c>
      <c r="C7" s="15" t="s">
        <v>194</v>
      </c>
      <c r="D7" s="1" t="s">
        <v>199</v>
      </c>
      <c r="E7" s="15" t="s">
        <v>200</v>
      </c>
      <c r="F7" s="27" t="s">
        <v>197</v>
      </c>
      <c r="G7" s="1"/>
      <c r="H7" s="1"/>
    </row>
    <row r="8" spans="1:8" ht="16" customHeight="1">
      <c r="A8" s="1">
        <f t="shared" si="0"/>
        <v>3</v>
      </c>
      <c r="B8" s="1" t="s">
        <v>193</v>
      </c>
      <c r="C8" s="15" t="s">
        <v>194</v>
      </c>
      <c r="D8" s="1" t="s">
        <v>201</v>
      </c>
      <c r="E8" s="1" t="s">
        <v>202</v>
      </c>
      <c r="F8" s="27" t="s">
        <v>197</v>
      </c>
      <c r="G8" s="1"/>
      <c r="H8" s="1"/>
    </row>
    <row r="9" spans="1:8" ht="32" customHeight="1">
      <c r="A9" s="1">
        <f t="shared" si="0"/>
        <v>4</v>
      </c>
      <c r="B9" s="1" t="s">
        <v>193</v>
      </c>
      <c r="C9" s="15" t="s">
        <v>194</v>
      </c>
      <c r="D9" s="1" t="s">
        <v>44</v>
      </c>
      <c r="E9" s="15" t="s">
        <v>203</v>
      </c>
      <c r="F9" s="27" t="s">
        <v>197</v>
      </c>
      <c r="G9" s="1" t="s">
        <v>47</v>
      </c>
      <c r="H9" s="1"/>
    </row>
    <row r="10" spans="1:8" ht="16" customHeight="1">
      <c r="A10" s="1">
        <f t="shared" si="0"/>
        <v>5</v>
      </c>
      <c r="B10" s="1" t="s">
        <v>193</v>
      </c>
      <c r="C10" s="15" t="s">
        <v>194</v>
      </c>
      <c r="D10" s="1" t="s">
        <v>204</v>
      </c>
      <c r="E10" s="1" t="s">
        <v>205</v>
      </c>
      <c r="F10" s="27" t="s">
        <v>197</v>
      </c>
      <c r="G10" s="1" t="s">
        <v>281</v>
      </c>
      <c r="H10" s="1"/>
    </row>
    <row r="11" spans="1:8" ht="32" customHeight="1">
      <c r="A11" s="1">
        <f t="shared" si="0"/>
        <v>6</v>
      </c>
      <c r="B11" s="1" t="s">
        <v>193</v>
      </c>
      <c r="C11" s="15" t="s">
        <v>194</v>
      </c>
      <c r="D11" s="1" t="s">
        <v>206</v>
      </c>
      <c r="E11" s="15" t="s">
        <v>207</v>
      </c>
      <c r="F11" s="27" t="s">
        <v>197</v>
      </c>
      <c r="G11" s="1" t="s">
        <v>282</v>
      </c>
      <c r="H11" s="1"/>
    </row>
    <row r="12" spans="1:8" ht="48" customHeight="1">
      <c r="A12" s="1">
        <f t="shared" si="0"/>
        <v>7</v>
      </c>
      <c r="B12" s="1" t="s">
        <v>193</v>
      </c>
      <c r="C12" s="15" t="s">
        <v>194</v>
      </c>
      <c r="D12" s="1" t="s">
        <v>208</v>
      </c>
      <c r="E12" s="15" t="s">
        <v>209</v>
      </c>
      <c r="F12" s="27"/>
      <c r="G12" s="1"/>
      <c r="H12" s="1"/>
    </row>
    <row r="13" spans="1:8" ht="16" customHeight="1">
      <c r="A13" s="1">
        <f t="shared" si="0"/>
        <v>8</v>
      </c>
      <c r="B13" s="1" t="s">
        <v>193</v>
      </c>
      <c r="C13" s="15" t="s">
        <v>194</v>
      </c>
      <c r="D13" s="1" t="s">
        <v>210</v>
      </c>
      <c r="E13" s="1" t="s">
        <v>211</v>
      </c>
      <c r="F13" s="4"/>
      <c r="G13" s="1"/>
      <c r="H13" s="1"/>
    </row>
    <row r="14" spans="1:8" ht="16" customHeight="1">
      <c r="A14" s="1">
        <f t="shared" si="0"/>
        <v>9</v>
      </c>
      <c r="B14" s="1" t="s">
        <v>193</v>
      </c>
      <c r="C14" s="15" t="s">
        <v>194</v>
      </c>
      <c r="D14" s="1" t="s">
        <v>212</v>
      </c>
      <c r="E14" s="1" t="s">
        <v>213</v>
      </c>
      <c r="F14" s="4"/>
      <c r="G14" s="1"/>
      <c r="H14" s="1"/>
    </row>
    <row r="15" spans="1:8" ht="16" customHeight="1">
      <c r="A15" s="1">
        <f t="shared" si="0"/>
        <v>10</v>
      </c>
      <c r="B15" s="1" t="s">
        <v>193</v>
      </c>
      <c r="C15" s="15" t="s">
        <v>194</v>
      </c>
      <c r="D15" s="1" t="s">
        <v>214</v>
      </c>
      <c r="E15" s="1" t="s">
        <v>215</v>
      </c>
      <c r="F15" s="4"/>
      <c r="G15" s="1"/>
      <c r="H15" s="1"/>
    </row>
    <row r="16" spans="1:8" ht="32" customHeight="1">
      <c r="A16" s="1">
        <f t="shared" si="0"/>
        <v>11</v>
      </c>
      <c r="B16" s="1" t="s">
        <v>193</v>
      </c>
      <c r="C16" s="15" t="s">
        <v>194</v>
      </c>
      <c r="D16" s="1" t="s">
        <v>216</v>
      </c>
      <c r="E16" s="15" t="s">
        <v>217</v>
      </c>
      <c r="F16" s="4"/>
      <c r="G16" s="1"/>
      <c r="H16" s="1"/>
    </row>
    <row r="17" spans="1:8" ht="48" customHeight="1">
      <c r="A17" s="1">
        <f t="shared" si="0"/>
        <v>12</v>
      </c>
      <c r="B17" s="1" t="s">
        <v>193</v>
      </c>
      <c r="C17" s="15" t="s">
        <v>194</v>
      </c>
      <c r="D17" s="1" t="s">
        <v>218</v>
      </c>
      <c r="E17" s="15" t="s">
        <v>219</v>
      </c>
      <c r="F17" s="4"/>
      <c r="G17" s="1"/>
      <c r="H17" s="1"/>
    </row>
    <row r="18" spans="1:8" ht="48" customHeight="1">
      <c r="A18" s="1">
        <f t="shared" si="0"/>
        <v>13</v>
      </c>
      <c r="B18" s="1" t="s">
        <v>193</v>
      </c>
      <c r="C18" s="15" t="s">
        <v>194</v>
      </c>
      <c r="D18" s="1" t="s">
        <v>220</v>
      </c>
      <c r="E18" s="15" t="s">
        <v>221</v>
      </c>
      <c r="F18" s="4"/>
      <c r="G18" s="1"/>
      <c r="H18" s="1"/>
    </row>
    <row r="19" spans="1:8" ht="48" customHeight="1">
      <c r="A19" s="1">
        <f t="shared" si="0"/>
        <v>14</v>
      </c>
      <c r="B19" s="1" t="s">
        <v>193</v>
      </c>
      <c r="C19" s="15" t="s">
        <v>194</v>
      </c>
      <c r="D19" s="1" t="s">
        <v>222</v>
      </c>
      <c r="E19" s="15" t="s">
        <v>223</v>
      </c>
      <c r="F19" s="4"/>
      <c r="G19" s="1"/>
      <c r="H19" s="1"/>
    </row>
    <row r="20" spans="1:8" ht="112" customHeight="1">
      <c r="A20" s="1">
        <f t="shared" si="0"/>
        <v>15</v>
      </c>
      <c r="B20" s="1" t="s">
        <v>224</v>
      </c>
      <c r="C20" s="15" t="s">
        <v>225</v>
      </c>
      <c r="D20" s="1" t="s">
        <v>226</v>
      </c>
      <c r="E20" s="15" t="s">
        <v>227</v>
      </c>
      <c r="F20" s="27"/>
      <c r="G20" s="2"/>
      <c r="H20" s="15"/>
    </row>
    <row r="21" spans="1:8" ht="32" customHeight="1">
      <c r="A21" s="1">
        <f t="shared" si="0"/>
        <v>16</v>
      </c>
      <c r="B21" s="1" t="s">
        <v>224</v>
      </c>
      <c r="C21" s="15" t="s">
        <v>225</v>
      </c>
      <c r="D21" s="1" t="s">
        <v>228</v>
      </c>
      <c r="E21" s="15" t="s">
        <v>229</v>
      </c>
      <c r="F21" s="4"/>
      <c r="G21" s="2"/>
      <c r="H21" s="15"/>
    </row>
    <row r="22" spans="1:8" ht="32" customHeight="1">
      <c r="A22" s="1">
        <f t="shared" si="0"/>
        <v>17</v>
      </c>
      <c r="B22" s="1" t="s">
        <v>224</v>
      </c>
      <c r="C22" s="15" t="s">
        <v>225</v>
      </c>
      <c r="D22" s="1" t="s">
        <v>230</v>
      </c>
      <c r="E22" s="15" t="s">
        <v>231</v>
      </c>
      <c r="F22" s="27"/>
      <c r="G22" s="2"/>
      <c r="H22" s="15"/>
    </row>
    <row r="23" spans="1:8" ht="32" customHeight="1">
      <c r="A23" s="1">
        <f t="shared" si="0"/>
        <v>18</v>
      </c>
      <c r="B23" s="1" t="s">
        <v>224</v>
      </c>
      <c r="C23" s="15" t="s">
        <v>225</v>
      </c>
      <c r="D23" s="1" t="s">
        <v>232</v>
      </c>
      <c r="E23" s="15" t="s">
        <v>233</v>
      </c>
      <c r="F23" s="27"/>
      <c r="G23" s="2"/>
      <c r="H23" s="15"/>
    </row>
    <row r="24" spans="1:8" ht="160" customHeight="1">
      <c r="A24" s="1">
        <f t="shared" si="0"/>
        <v>19</v>
      </c>
      <c r="B24" s="1" t="s">
        <v>234</v>
      </c>
      <c r="C24" s="15" t="s">
        <v>235</v>
      </c>
      <c r="D24" s="1" t="s">
        <v>226</v>
      </c>
      <c r="E24" s="15" t="s">
        <v>236</v>
      </c>
      <c r="F24" s="27"/>
      <c r="G24" s="1"/>
      <c r="H24" s="1"/>
    </row>
    <row r="25" spans="1:8" ht="32" customHeight="1">
      <c r="A25" s="1">
        <f t="shared" si="0"/>
        <v>20</v>
      </c>
      <c r="B25" s="1" t="s">
        <v>234</v>
      </c>
      <c r="C25" s="15" t="s">
        <v>235</v>
      </c>
      <c r="D25" s="1" t="s">
        <v>228</v>
      </c>
      <c r="E25" s="1" t="s">
        <v>237</v>
      </c>
      <c r="F25" s="4"/>
      <c r="G25" s="1"/>
      <c r="H25" s="1"/>
    </row>
    <row r="26" spans="1:8" ht="32" customHeight="1">
      <c r="A26" s="1">
        <f t="shared" si="0"/>
        <v>21</v>
      </c>
      <c r="B26" s="1" t="s">
        <v>234</v>
      </c>
      <c r="C26" s="15" t="s">
        <v>235</v>
      </c>
      <c r="D26" s="1" t="s">
        <v>238</v>
      </c>
      <c r="E26" s="15" t="s">
        <v>239</v>
      </c>
      <c r="F26" s="27"/>
      <c r="G26" s="1"/>
      <c r="H26" s="1"/>
    </row>
    <row r="27" spans="1:8" ht="80" customHeight="1">
      <c r="A27" s="1">
        <f t="shared" si="0"/>
        <v>22</v>
      </c>
      <c r="B27" s="1" t="s">
        <v>240</v>
      </c>
      <c r="C27" s="15" t="s">
        <v>241</v>
      </c>
      <c r="D27" s="1" t="s">
        <v>226</v>
      </c>
      <c r="E27" s="15" t="s">
        <v>242</v>
      </c>
      <c r="F27" s="27" t="s">
        <v>197</v>
      </c>
      <c r="G27" s="1" t="s">
        <v>280</v>
      </c>
      <c r="H27" s="1"/>
    </row>
    <row r="28" spans="1:8" ht="16">
      <c r="A28" s="1">
        <f>ROW()-5</f>
        <v>23</v>
      </c>
      <c r="B28" s="1" t="s">
        <v>240</v>
      </c>
      <c r="C28" s="15" t="s">
        <v>241</v>
      </c>
      <c r="D28" s="1" t="s">
        <v>228</v>
      </c>
      <c r="E28" s="1" t="s">
        <v>237</v>
      </c>
      <c r="F28" s="27" t="s">
        <v>197</v>
      </c>
      <c r="G28" s="1"/>
      <c r="H28" s="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10"/>
  <sheetViews>
    <sheetView zoomScaleNormal="100" workbookViewId="0">
      <pane ySplit="7" topLeftCell="A8" activePane="bottomLeft" state="frozen"/>
      <selection pane="bottomLeft"/>
    </sheetView>
  </sheetViews>
  <sheetFormatPr baseColWidth="10" defaultColWidth="8.83203125" defaultRowHeight="15" outlineLevelCol="1"/>
  <cols>
    <col min="1" max="1" width="39.1640625" bestFit="1" customWidth="1"/>
    <col min="2" max="2" width="11.5" bestFit="1" customWidth="1"/>
    <col min="3" max="3" width="9.1640625" style="3" bestFit="1" customWidth="1"/>
    <col min="4" max="4" width="9.6640625" style="3" customWidth="1"/>
    <col min="5" max="5" width="18.83203125" style="3" customWidth="1"/>
    <col min="6" max="6" width="18.1640625" style="3" customWidth="1"/>
    <col min="7" max="7" width="12.83203125" style="3" customWidth="1"/>
    <col min="8" max="8" width="14.6640625" style="3" bestFit="1" customWidth="1"/>
    <col min="9" max="10" width="5.6640625" customWidth="1" outlineLevel="1"/>
    <col min="11" max="11" width="7.5" customWidth="1" outlineLevel="1"/>
    <col min="12" max="14" width="8" customWidth="1" outlineLevel="1"/>
    <col min="15" max="15" width="10.33203125" customWidth="1" outlineLevel="1"/>
    <col min="16" max="16" width="31.6640625" customWidth="1" outlineLevel="1"/>
    <col min="17" max="20" width="16.33203125" customWidth="1"/>
  </cols>
  <sheetData>
    <row r="1" spans="1:20">
      <c r="A1" s="7" t="s">
        <v>41</v>
      </c>
      <c r="B1" s="3"/>
    </row>
    <row r="2" spans="1:20" ht="16" customHeight="1">
      <c r="A2" s="7"/>
      <c r="B2" s="3"/>
      <c r="Q2" s="58" t="s">
        <v>1</v>
      </c>
      <c r="R2" s="58" t="s">
        <v>2</v>
      </c>
      <c r="S2" s="58" t="s">
        <v>3</v>
      </c>
      <c r="T2" s="58" t="s">
        <v>4</v>
      </c>
    </row>
    <row r="3" spans="1:20">
      <c r="A3" s="65" t="s">
        <v>243</v>
      </c>
      <c r="B3" s="3"/>
      <c r="Q3" s="32" t="str">
        <f>IF(各種設定!$G$11=0,"",各種設定!$G$11)</f>
        <v>ja</v>
      </c>
      <c r="R3" s="32" t="str">
        <f>IF(各種設定!$G$12=0,"",各種設定!$G$12)</f>
        <v/>
      </c>
      <c r="S3" s="32" t="str">
        <f>IF(各種設定!$G$13=0,"",各種設定!$G$13)</f>
        <v/>
      </c>
      <c r="T3" s="32" t="str">
        <f>IF(各種設定!$G$14=0,"",各種設定!$G$14)</f>
        <v/>
      </c>
    </row>
    <row r="4" spans="1:20">
      <c r="A4" s="7"/>
      <c r="B4" s="3"/>
    </row>
    <row r="5" spans="1:20" ht="32" customHeight="1">
      <c r="A5" s="7"/>
      <c r="B5" s="28" t="s">
        <v>244</v>
      </c>
      <c r="C5" s="112" t="s">
        <v>245</v>
      </c>
      <c r="D5" s="113"/>
      <c r="E5" s="113"/>
      <c r="F5" s="113"/>
      <c r="G5" s="113"/>
      <c r="H5" s="113"/>
      <c r="I5" s="110" t="s">
        <v>246</v>
      </c>
      <c r="J5" s="111"/>
      <c r="K5" s="111"/>
      <c r="L5" s="111"/>
      <c r="M5" s="30" t="s">
        <v>247</v>
      </c>
      <c r="N5" s="48" t="s">
        <v>248</v>
      </c>
      <c r="O5" s="105" t="s">
        <v>286</v>
      </c>
      <c r="P5" s="51" t="s">
        <v>36</v>
      </c>
      <c r="Q5" s="112" t="s">
        <v>245</v>
      </c>
      <c r="R5" s="111"/>
      <c r="S5" s="111"/>
      <c r="T5" s="111"/>
    </row>
    <row r="6" spans="1:20">
      <c r="B6" s="20" t="s">
        <v>191</v>
      </c>
      <c r="C6" s="26" t="s">
        <v>249</v>
      </c>
      <c r="D6" s="26" t="s">
        <v>191</v>
      </c>
      <c r="E6" s="22" t="s">
        <v>191</v>
      </c>
      <c r="F6" s="26" t="s">
        <v>191</v>
      </c>
      <c r="G6" s="22" t="s">
        <v>249</v>
      </c>
      <c r="H6" s="22" t="s">
        <v>249</v>
      </c>
      <c r="I6" s="24" t="s">
        <v>249</v>
      </c>
      <c r="J6" s="24" t="s">
        <v>249</v>
      </c>
      <c r="K6" s="24" t="s">
        <v>249</v>
      </c>
      <c r="L6" s="24" t="s">
        <v>249</v>
      </c>
      <c r="M6" s="31" t="s">
        <v>191</v>
      </c>
      <c r="N6" s="47" t="s">
        <v>249</v>
      </c>
      <c r="O6" s="106" t="s">
        <v>191</v>
      </c>
      <c r="P6" s="21" t="s">
        <v>249</v>
      </c>
      <c r="Q6" s="22" t="s">
        <v>249</v>
      </c>
      <c r="R6" s="22" t="s">
        <v>249</v>
      </c>
      <c r="S6" s="22" t="s">
        <v>249</v>
      </c>
      <c r="T6" s="22" t="s">
        <v>249</v>
      </c>
    </row>
    <row r="7" spans="1:20" ht="32" customHeight="1">
      <c r="A7" s="4" t="s">
        <v>237</v>
      </c>
      <c r="B7" s="4" t="s">
        <v>43</v>
      </c>
      <c r="C7" s="5" t="s">
        <v>250</v>
      </c>
      <c r="D7" s="5" t="s">
        <v>251</v>
      </c>
      <c r="E7" s="5" t="s">
        <v>252</v>
      </c>
      <c r="F7" s="56" t="s">
        <v>76</v>
      </c>
      <c r="G7" s="5" t="s">
        <v>253</v>
      </c>
      <c r="H7" s="5" t="s">
        <v>254</v>
      </c>
      <c r="I7" s="5" t="s">
        <v>255</v>
      </c>
      <c r="J7" s="5" t="s">
        <v>256</v>
      </c>
      <c r="K7" s="5" t="s">
        <v>257</v>
      </c>
      <c r="L7" s="5" t="s">
        <v>258</v>
      </c>
      <c r="M7" s="5" t="s">
        <v>259</v>
      </c>
      <c r="N7" s="5" t="s">
        <v>260</v>
      </c>
      <c r="O7" s="5" t="s">
        <v>285</v>
      </c>
      <c r="P7" s="5" t="s">
        <v>36</v>
      </c>
      <c r="Q7" s="5" t="s">
        <v>261</v>
      </c>
      <c r="R7" s="5" t="s">
        <v>262</v>
      </c>
      <c r="S7" s="5" t="s">
        <v>263</v>
      </c>
      <c r="T7" s="5" t="s">
        <v>264</v>
      </c>
    </row>
    <row r="8" spans="1:20">
      <c r="A8" s="6"/>
      <c r="B8" s="2"/>
      <c r="C8" s="2"/>
      <c r="D8" s="2"/>
      <c r="E8" s="2"/>
      <c r="F8" s="1" t="str">
        <f>IF(テーブル2[[#This Row],[データパターン（日本語）]]="", "", VLOOKUP(テーブル2[[#This Row],[データパターン（日本語）]],dataType・データパターン一覧!A:B,2,FALSE))</f>
        <v/>
      </c>
      <c r="G8" s="5"/>
      <c r="H8" s="23"/>
      <c r="I8" s="2"/>
      <c r="J8" s="2"/>
      <c r="K8" s="2"/>
      <c r="L8" s="2"/>
      <c r="M8" s="2"/>
      <c r="N8" s="23"/>
      <c r="O8" s="23"/>
      <c r="P8" s="23"/>
      <c r="Q8" s="23"/>
      <c r="R8" s="23"/>
      <c r="S8" s="23"/>
      <c r="T8" s="23"/>
    </row>
    <row r="9" spans="1:20">
      <c r="A9" s="6"/>
      <c r="B9" s="2"/>
      <c r="C9" s="2"/>
      <c r="D9" s="2"/>
      <c r="E9" s="2"/>
      <c r="F9" s="1" t="str">
        <f>IF(テーブル2[[#This Row],[データパターン（日本語）]]="", "", VLOOKUP(テーブル2[[#This Row],[データパターン（日本語）]],dataType・データパターン一覧!A:B,2,FALSE))</f>
        <v/>
      </c>
      <c r="G9" s="5"/>
      <c r="H9" s="23"/>
      <c r="I9" s="2"/>
      <c r="J9" s="2"/>
      <c r="K9" s="2"/>
      <c r="L9" s="2"/>
      <c r="M9" s="2"/>
      <c r="N9" s="15"/>
      <c r="O9" s="15"/>
      <c r="P9" s="15"/>
      <c r="Q9" s="23"/>
      <c r="R9" s="23"/>
      <c r="S9" s="23"/>
      <c r="T9" s="23"/>
    </row>
    <row r="10" spans="1:20">
      <c r="A10" s="6"/>
      <c r="B10" s="2"/>
      <c r="C10" s="2"/>
      <c r="D10" s="2"/>
      <c r="E10" s="2"/>
      <c r="F10" s="1" t="str">
        <f>IF(テーブル2[[#This Row],[データパターン（日本語）]]="", "", VLOOKUP(テーブル2[[#This Row],[データパターン（日本語）]],dataType・データパターン一覧!A:B,2,FALSE))</f>
        <v/>
      </c>
      <c r="G10" s="5"/>
      <c r="H10" s="23"/>
      <c r="I10" s="2"/>
      <c r="J10" s="2"/>
      <c r="K10" s="2"/>
      <c r="L10" s="2"/>
      <c r="M10" s="2"/>
      <c r="N10" s="15"/>
      <c r="O10" s="15"/>
      <c r="P10" s="15"/>
      <c r="Q10" s="23"/>
      <c r="R10" s="23"/>
      <c r="S10" s="23"/>
      <c r="T10" s="23"/>
    </row>
  </sheetData>
  <mergeCells count="3">
    <mergeCell ref="I5:L5"/>
    <mergeCell ref="C5:H5"/>
    <mergeCell ref="Q5:T5"/>
  </mergeCells>
  <dataValidations count="6">
    <dataValidation type="list" allowBlank="1" showInputMessage="1" showErrorMessage="1" sqref="F1:H1 F1048280:H1048576 F3:H4" xr:uid="{00000000-0002-0000-0500-000000000000}">
      <formula1>INDIRECT(#REF!)</formula1>
    </dataValidation>
    <dataValidation type="list" allowBlank="1" showInputMessage="1" showErrorMessage="1" sqref="N8:O10" xr:uid="{00000000-0002-0000-0500-000003000000}">
      <formula1>"○"</formula1>
    </dataValidation>
    <dataValidation type="list" allowBlank="1" showInputMessage="1" showErrorMessage="1" sqref="E8:E10" xr:uid="{00000000-0002-0000-0500-000004000000}">
      <formula1>一般</formula1>
    </dataValidation>
    <dataValidation type="list" allowBlank="1" showInputMessage="1" showErrorMessage="1" sqref="F2:H2" xr:uid="{00000000-0002-0000-0500-000005000000}">
      <formula1>INDIRECT($C6)</formula1>
    </dataValidation>
    <dataValidation type="list" allowBlank="1" showInputMessage="1" showErrorMessage="1" sqref="F1048266:H1048279" xr:uid="{00000000-0002-0000-0500-000006000000}">
      <formula1>INDIRECT($C1)</formula1>
    </dataValidation>
    <dataValidation type="list" allowBlank="1" showInputMessage="1" showErrorMessage="1" sqref="F11:H1048265" xr:uid="{00000000-0002-0000-0500-000001000000}">
      <formula1>INDIRECT($C14)</formula1>
    </dataValidation>
  </dataValidations>
  <pageMargins left="0.7" right="0.7" top="0.75" bottom="0.75" header="0.3" footer="0.3"/>
  <pageSetup paperSize="9" orientation="portrait"/>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CC0EE335-BBE7-2748-93EC-9E9D70526526}">
          <x14:formula1>
            <xm:f>dataTypeプルダウン項目!$B$3:$B$18</xm:f>
          </x14:formula1>
          <xm:sqref>B8:B10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9"/>
  <sheetViews>
    <sheetView zoomScale="90" zoomScaleNormal="90" workbookViewId="0"/>
  </sheetViews>
  <sheetFormatPr baseColWidth="10" defaultColWidth="8.83203125" defaultRowHeight="15" outlineLevelCol="1"/>
  <cols>
    <col min="1" max="1" width="25.33203125" style="3" customWidth="1"/>
    <col min="2" max="2" width="9.1640625" style="3" bestFit="1" customWidth="1"/>
    <col min="3" max="3" width="51.5" style="3" bestFit="1" customWidth="1"/>
    <col min="4" max="4" width="12.1640625" style="3" customWidth="1" outlineLevel="1"/>
    <col min="5" max="5" width="44.6640625" customWidth="1" outlineLevel="1"/>
    <col min="6" max="9" width="25" customWidth="1"/>
  </cols>
  <sheetData>
    <row r="1" spans="1:9">
      <c r="A1" s="7" t="s">
        <v>265</v>
      </c>
      <c r="D1" s="7"/>
    </row>
    <row r="3" spans="1:9" ht="16" customHeight="1">
      <c r="A3" s="3" t="s">
        <v>266</v>
      </c>
      <c r="F3" s="57" t="s">
        <v>1</v>
      </c>
      <c r="G3" s="57" t="s">
        <v>2</v>
      </c>
      <c r="H3" s="57" t="s">
        <v>3</v>
      </c>
      <c r="I3" s="57" t="s">
        <v>4</v>
      </c>
    </row>
    <row r="4" spans="1:9">
      <c r="A4" s="3" t="s">
        <v>267</v>
      </c>
      <c r="D4" s="49"/>
      <c r="F4" s="32" t="str">
        <f>IF(各種設定!$G$11=0,"",各種設定!$G$11)</f>
        <v>ja</v>
      </c>
      <c r="G4" s="32" t="str">
        <f>IF(各種設定!$G$12=0,"",各種設定!$G$12)</f>
        <v/>
      </c>
      <c r="H4" s="32" t="str">
        <f>IF(各種設定!$G$13=0,"",各種設定!$G$13)</f>
        <v/>
      </c>
      <c r="I4" s="32" t="str">
        <f>IF(各種設定!$G$14=0,"",各種設定!$G$14)</f>
        <v/>
      </c>
    </row>
    <row r="6" spans="1:9" ht="16" customHeight="1">
      <c r="A6" s="3" t="s">
        <v>237</v>
      </c>
      <c r="B6" s="3" t="s">
        <v>268</v>
      </c>
      <c r="C6" s="3" t="s">
        <v>269</v>
      </c>
      <c r="D6" s="3" t="s">
        <v>9</v>
      </c>
      <c r="E6" s="3" t="s">
        <v>36</v>
      </c>
      <c r="F6" s="63" t="s">
        <v>270</v>
      </c>
      <c r="G6" s="63" t="s">
        <v>271</v>
      </c>
      <c r="H6" s="63" t="s">
        <v>272</v>
      </c>
      <c r="I6" s="63" t="s">
        <v>273</v>
      </c>
    </row>
    <row r="7" spans="1:9">
      <c r="A7" s="6"/>
      <c r="B7" s="16"/>
      <c r="C7" s="16"/>
      <c r="D7" s="9"/>
      <c r="F7" s="16"/>
      <c r="G7" s="17"/>
    </row>
    <row r="8" spans="1:9">
      <c r="A8" s="6"/>
      <c r="B8" s="16"/>
      <c r="C8" s="16"/>
      <c r="D8" s="9"/>
      <c r="F8" s="16"/>
      <c r="G8" s="17"/>
    </row>
    <row r="9" spans="1:9">
      <c r="A9" s="6"/>
      <c r="B9" s="16"/>
      <c r="C9" s="16"/>
      <c r="D9" s="9"/>
      <c r="E9" s="33"/>
      <c r="F9" s="16"/>
      <c r="G9" s="17"/>
      <c r="H9" s="16"/>
      <c r="I9" s="16"/>
    </row>
  </sheetData>
  <dataValidations count="1">
    <dataValidation type="list" allowBlank="1" showInputMessage="1" showErrorMessage="1" sqref="D7:D9" xr:uid="{00000000-0002-0000-0600-000000000000}">
      <formula1>"○"</formula1>
    </dataValidation>
  </dataValidations>
  <pageMargins left="0.7" right="0.7" top="0.75" bottom="0.75" header="0.3" footer="0.3"/>
  <pageSetup paperSize="9"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dimension ref="A1:AS9"/>
  <sheetViews>
    <sheetView zoomScaleNormal="100" zoomScaleSheetLayoutView="80" workbookViewId="0"/>
  </sheetViews>
  <sheetFormatPr baseColWidth="10" defaultColWidth="9" defaultRowHeight="15" outlineLevelCol="2"/>
  <cols>
    <col min="1" max="1" width="39.1640625" style="35" bestFit="1" customWidth="1"/>
    <col min="2" max="2" width="27.83203125" style="35" customWidth="1"/>
    <col min="3" max="3" width="36" style="35" bestFit="1" customWidth="1"/>
    <col min="4" max="4" width="16.5" style="35" customWidth="1" outlineLevel="1"/>
    <col min="5" max="5" width="9.5" style="35" customWidth="1" outlineLevel="2"/>
    <col min="6" max="6" width="10.83203125" style="36" customWidth="1" outlineLevel="2"/>
    <col min="7" max="7" width="11.5" style="36" customWidth="1" outlineLevel="2"/>
    <col min="8" max="8" width="8.83203125" style="37" customWidth="1" outlineLevel="2"/>
    <col min="9" max="10" width="8.33203125" style="37" customWidth="1" outlineLevel="2"/>
    <col min="11" max="12" width="8.5" style="37" customWidth="1" outlineLevel="2"/>
    <col min="13" max="13" width="9.33203125" style="37" customWidth="1" outlineLevel="2"/>
    <col min="14" max="14" width="8.5" style="37" customWidth="1" outlineLevel="1"/>
    <col min="15" max="16" width="18.33203125" style="37" customWidth="1" outlineLevel="2"/>
    <col min="17" max="17" width="29.5" style="37" customWidth="1" outlineLevel="2"/>
    <col min="18" max="18" width="18.1640625" style="37" customWidth="1" outlineLevel="2"/>
    <col min="19" max="19" width="29" style="37" customWidth="1" outlineLevel="2"/>
    <col min="20" max="22" width="18.33203125" style="37" customWidth="1" outlineLevel="2"/>
    <col min="23" max="23" width="17.1640625" style="37" customWidth="1" outlineLevel="1"/>
    <col min="24" max="26" width="9.1640625" style="37" customWidth="1" outlineLevel="2"/>
    <col min="27" max="27" width="9.1640625" style="35" customWidth="1" outlineLevel="2"/>
    <col min="28" max="33" width="9.1640625" style="38" customWidth="1" outlineLevel="2"/>
    <col min="34" max="34" width="19.33203125" style="38" customWidth="1" outlineLevel="1"/>
    <col min="35" max="38" width="33.33203125" style="38" customWidth="1"/>
    <col min="39" max="39" width="9" style="38" customWidth="1"/>
    <col min="40" max="16384" width="9" style="38"/>
  </cols>
  <sheetData>
    <row r="1" spans="1:45">
      <c r="A1" s="34" t="s">
        <v>0</v>
      </c>
    </row>
    <row r="2" spans="1:45" ht="16" customHeight="1">
      <c r="AI2" s="58" t="s">
        <v>1</v>
      </c>
      <c r="AJ2" s="58" t="s">
        <v>2</v>
      </c>
      <c r="AK2" s="58" t="s">
        <v>3</v>
      </c>
      <c r="AL2" s="58" t="s">
        <v>4</v>
      </c>
    </row>
    <row r="3" spans="1:45">
      <c r="A3" s="49"/>
      <c r="AI3" s="32" t="str">
        <f>IF(各種設定!$G$11=0,"",各種設定!$G$11)</f>
        <v>ja</v>
      </c>
      <c r="AJ3" s="32" t="str">
        <f>IF(各種設定!$G$12=0,"",各種設定!$G$12)</f>
        <v/>
      </c>
      <c r="AK3" s="32" t="str">
        <f>IF(各種設定!$G$13=0,"",各種設定!$G$13)</f>
        <v/>
      </c>
      <c r="AL3" s="32" t="str">
        <f>IF(各種設定!$G$14=0,"",各種設定!$G$14)</f>
        <v/>
      </c>
    </row>
    <row r="4" spans="1:45">
      <c r="A4" s="34"/>
    </row>
    <row r="5" spans="1:45" s="40" customFormat="1" ht="45" customHeight="1">
      <c r="A5" s="39" t="s">
        <v>5</v>
      </c>
      <c r="B5" s="39" t="s">
        <v>6</v>
      </c>
      <c r="C5" s="39" t="s">
        <v>7</v>
      </c>
      <c r="D5" s="59" t="s">
        <v>8</v>
      </c>
      <c r="E5" s="39" t="s">
        <v>9</v>
      </c>
      <c r="F5" s="60" t="s">
        <v>10</v>
      </c>
      <c r="G5" s="60" t="s">
        <v>11</v>
      </c>
      <c r="H5" s="60" t="s">
        <v>12</v>
      </c>
      <c r="I5" s="60" t="s">
        <v>13</v>
      </c>
      <c r="J5" s="61" t="s">
        <v>14</v>
      </c>
      <c r="K5" s="60" t="s">
        <v>15</v>
      </c>
      <c r="L5" s="61" t="s">
        <v>16</v>
      </c>
      <c r="M5" s="61" t="s">
        <v>17</v>
      </c>
      <c r="N5" s="61" t="s">
        <v>18</v>
      </c>
      <c r="O5" s="61" t="s">
        <v>19</v>
      </c>
      <c r="P5" s="61" t="s">
        <v>20</v>
      </c>
      <c r="Q5" s="61" t="s">
        <v>21</v>
      </c>
      <c r="R5" s="61" t="s">
        <v>283</v>
      </c>
      <c r="S5" s="61" t="s">
        <v>22</v>
      </c>
      <c r="T5" s="61" t="s">
        <v>23</v>
      </c>
      <c r="U5" s="61" t="s">
        <v>24</v>
      </c>
      <c r="V5" s="61" t="s">
        <v>284</v>
      </c>
      <c r="W5" s="61" t="s">
        <v>25</v>
      </c>
      <c r="X5" s="61" t="s">
        <v>26</v>
      </c>
      <c r="Y5" s="61" t="s">
        <v>27</v>
      </c>
      <c r="Z5" s="61" t="s">
        <v>28</v>
      </c>
      <c r="AA5" s="61" t="s">
        <v>29</v>
      </c>
      <c r="AB5" s="61" t="s">
        <v>30</v>
      </c>
      <c r="AC5" s="61" t="s">
        <v>31</v>
      </c>
      <c r="AD5" s="61" t="s">
        <v>32</v>
      </c>
      <c r="AE5" s="61" t="s">
        <v>33</v>
      </c>
      <c r="AF5" s="61" t="s">
        <v>34</v>
      </c>
      <c r="AG5" s="61" t="s">
        <v>35</v>
      </c>
      <c r="AH5" s="61" t="s">
        <v>36</v>
      </c>
      <c r="AI5" s="60" t="s">
        <v>37</v>
      </c>
      <c r="AJ5" s="62" t="s">
        <v>38</v>
      </c>
      <c r="AK5" s="62" t="s">
        <v>39</v>
      </c>
      <c r="AL5" s="62" t="s">
        <v>40</v>
      </c>
      <c r="AS5" s="41"/>
    </row>
    <row r="6" spans="1:45" s="40" customFormat="1" ht="14" customHeight="1">
      <c r="A6" s="6"/>
      <c r="B6" s="6"/>
      <c r="C6" s="6"/>
      <c r="D6" s="43" t="str">
        <f>IF(テーブル7[[#This Row],[dataType]]="","",IF(NOT(ISNA(VLOOKUP(テーブル7[[#This Row],[dataType]], dataType定義!A:A, 1,FALSE))), "○", "×"))</f>
        <v/>
      </c>
      <c r="E6" s="9"/>
      <c r="F6" s="8"/>
      <c r="G6" s="8"/>
      <c r="H6" s="8"/>
      <c r="I6" s="8"/>
      <c r="J6" s="8"/>
      <c r="K6" s="39"/>
      <c r="L6" s="8"/>
      <c r="M6" s="8"/>
      <c r="N6" s="8"/>
      <c r="O6" s="8"/>
      <c r="P6" s="8"/>
      <c r="Q6" s="8"/>
      <c r="R6" s="8"/>
      <c r="S6" s="8"/>
      <c r="T6" s="8"/>
      <c r="U6" s="8"/>
      <c r="V6" s="8"/>
      <c r="W6" s="8"/>
      <c r="X6" s="8"/>
      <c r="Y6" s="8"/>
      <c r="Z6" s="8"/>
      <c r="AA6" s="8"/>
      <c r="AB6" s="8"/>
      <c r="AC6" s="8"/>
      <c r="AD6" s="8"/>
      <c r="AE6" s="8"/>
      <c r="AF6" s="8"/>
      <c r="AG6" s="8"/>
      <c r="AH6" s="25"/>
      <c r="AI6" s="42"/>
      <c r="AJ6" s="50"/>
      <c r="AK6" s="42"/>
      <c r="AL6" s="39"/>
      <c r="AS6" s="41"/>
    </row>
    <row r="7" spans="1:45" s="40" customFormat="1" ht="14" customHeight="1">
      <c r="A7" s="6"/>
      <c r="B7" s="6"/>
      <c r="C7" s="6"/>
      <c r="D7" s="43" t="str">
        <f>IF(テーブル7[[#This Row],[dataType]]="","",IF(NOT(ISNA(VLOOKUP(テーブル7[[#This Row],[dataType]], dataType定義!A:A, 1,FALSE))), "○", "×"))</f>
        <v/>
      </c>
      <c r="E7" s="9"/>
      <c r="F7" s="8"/>
      <c r="G7" s="8"/>
      <c r="H7" s="8"/>
      <c r="I7" s="8"/>
      <c r="J7" s="8"/>
      <c r="K7" s="39"/>
      <c r="L7" s="8"/>
      <c r="M7" s="8"/>
      <c r="N7" s="8"/>
      <c r="O7" s="8"/>
      <c r="P7" s="8"/>
      <c r="Q7" s="8"/>
      <c r="R7" s="8"/>
      <c r="S7" s="8"/>
      <c r="T7" s="8"/>
      <c r="U7" s="8"/>
      <c r="V7" s="8"/>
      <c r="W7" s="8"/>
      <c r="X7" s="8"/>
      <c r="Y7" s="8"/>
      <c r="Z7" s="8"/>
      <c r="AA7" s="8"/>
      <c r="AB7" s="8"/>
      <c r="AC7" s="8"/>
      <c r="AD7" s="8"/>
      <c r="AE7" s="8"/>
      <c r="AF7" s="8"/>
      <c r="AG7" s="8"/>
      <c r="AH7" s="25"/>
      <c r="AI7" s="6"/>
      <c r="AJ7" s="6"/>
      <c r="AK7" s="42"/>
      <c r="AL7" s="39"/>
      <c r="AS7" s="41"/>
    </row>
    <row r="8" spans="1:45" s="40" customFormat="1" ht="14" customHeight="1">
      <c r="A8" s="6"/>
      <c r="B8" s="6"/>
      <c r="C8" s="6"/>
      <c r="D8" s="43" t="str">
        <f>IF(テーブル7[[#This Row],[dataType]]="","",IF(NOT(ISNA(VLOOKUP(テーブル7[[#This Row],[dataType]], dataType定義!A:A, 1,FALSE))), "○", "×"))</f>
        <v/>
      </c>
      <c r="E8" s="9"/>
      <c r="F8" s="39"/>
      <c r="G8" s="39"/>
      <c r="H8" s="8"/>
      <c r="I8" s="8"/>
      <c r="J8" s="8"/>
      <c r="K8" s="39"/>
      <c r="L8" s="8"/>
      <c r="M8" s="8"/>
      <c r="N8" s="8"/>
      <c r="O8" s="8"/>
      <c r="P8" s="8"/>
      <c r="Q8" s="8"/>
      <c r="R8" s="8"/>
      <c r="S8" s="8"/>
      <c r="T8" s="8"/>
      <c r="U8" s="8"/>
      <c r="V8" s="8"/>
      <c r="W8" s="8"/>
      <c r="X8" s="8"/>
      <c r="Y8" s="8"/>
      <c r="Z8" s="8"/>
      <c r="AA8" s="8"/>
      <c r="AB8" s="8"/>
      <c r="AC8" s="8"/>
      <c r="AD8" s="8"/>
      <c r="AE8" s="8"/>
      <c r="AF8" s="8"/>
      <c r="AG8" s="8"/>
      <c r="AH8" s="25"/>
      <c r="AI8" s="6"/>
      <c r="AJ8" s="6"/>
      <c r="AK8" s="42"/>
      <c r="AL8" s="39"/>
      <c r="AS8" s="41"/>
    </row>
    <row r="9" spans="1:45" s="40" customFormat="1" ht="14" customHeight="1">
      <c r="A9" s="6"/>
      <c r="B9" s="6"/>
      <c r="C9" s="6"/>
      <c r="D9" s="43" t="str">
        <f>IF(テーブル7[[#This Row],[dataType]]="","",IF(NOT(ISNA(VLOOKUP(テーブル7[[#This Row],[dataType]], dataType定義!A:A, 1,FALSE))), "○", "×"))</f>
        <v/>
      </c>
      <c r="E9" s="9"/>
      <c r="F9" s="39"/>
      <c r="G9" s="39"/>
      <c r="H9" s="8"/>
      <c r="I9" s="8"/>
      <c r="J9" s="8"/>
      <c r="K9" s="39"/>
      <c r="L9" s="8"/>
      <c r="M9" s="8"/>
      <c r="N9" s="8"/>
      <c r="O9" s="8"/>
      <c r="P9" s="8"/>
      <c r="Q9" s="8"/>
      <c r="R9" s="8"/>
      <c r="S9" s="8"/>
      <c r="T9" s="8"/>
      <c r="U9" s="8"/>
      <c r="V9" s="8"/>
      <c r="W9" s="8"/>
      <c r="X9" s="8"/>
      <c r="Y9" s="8"/>
      <c r="Z9" s="8"/>
      <c r="AA9" s="8"/>
      <c r="AB9" s="8"/>
      <c r="AC9" s="8"/>
      <c r="AD9" s="8"/>
      <c r="AE9" s="8"/>
      <c r="AF9" s="8"/>
      <c r="AG9" s="8"/>
      <c r="AH9" s="25"/>
      <c r="AI9" s="6"/>
      <c r="AJ9" s="6"/>
      <c r="AK9" s="42"/>
      <c r="AL9" s="39"/>
      <c r="AS9" s="41"/>
    </row>
  </sheetData>
  <dataValidations count="4">
    <dataValidation type="list" allowBlank="1" showInputMessage="1" showErrorMessage="1" sqref="O6:O9" xr:uid="{00000000-0002-0000-0700-000000000000}">
      <formula1>"@ManyToOne,@OneToOne"</formula1>
    </dataValidation>
    <dataValidation type="list" allowBlank="1" showInputMessage="1" showErrorMessage="1" sqref="P6:P9" xr:uid="{00000000-0002-0000-0700-000001000000}">
      <formula1>"unidirectional,bidirectional"</formula1>
    </dataValidation>
    <dataValidation type="list" allowBlank="1" showInputMessage="1" showErrorMessage="1" sqref="E6:M9 W6:W9" xr:uid="{00000000-0002-0000-0700-000002000000}">
      <formula1>"○"</formula1>
    </dataValidation>
    <dataValidation type="list" allowBlank="1" showInputMessage="1" showErrorMessage="1" sqref="N6:N9" xr:uid="{00000000-0002-0000-0700-000003000000}">
      <formula1>"CB,CD,LB,LD"</formula1>
    </dataValidation>
  </dataValidations>
  <pageMargins left="0.7" right="0.7" top="0.75" bottom="0.75" header="0.3" footer="0.3"/>
  <pageSetup paperSize="9" scale="41"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L8"/>
  <sheetViews>
    <sheetView zoomScaleNormal="100" zoomScaleSheetLayoutView="80" workbookViewId="0">
      <pane ySplit="5" topLeftCell="A6" activePane="bottomLeft" state="frozen"/>
      <selection activeCell="I9" sqref="I9"/>
      <selection pane="bottomLeft"/>
    </sheetView>
  </sheetViews>
  <sheetFormatPr baseColWidth="10" defaultColWidth="8.83203125" defaultRowHeight="15" outlineLevelCol="2"/>
  <cols>
    <col min="1" max="1" width="39.1640625" style="35" bestFit="1" customWidth="1"/>
    <col min="2" max="2" width="27.83203125" style="35" customWidth="1"/>
    <col min="3" max="3" width="36" style="35" bestFit="1" customWidth="1"/>
    <col min="4" max="4" width="16.5" style="35" customWidth="1" outlineLevel="1"/>
    <col min="5" max="5" width="9.5" style="35" customWidth="1" outlineLevel="2"/>
    <col min="6" max="6" width="10.83203125" style="36" customWidth="1" outlineLevel="2"/>
    <col min="7" max="7" width="11.5" style="36" customWidth="1" outlineLevel="2"/>
    <col min="8" max="8" width="8.83203125" style="37" customWidth="1" outlineLevel="2"/>
    <col min="9" max="10" width="8.33203125" style="37" customWidth="1" outlineLevel="2"/>
    <col min="11" max="12" width="8.5" style="37" customWidth="1" outlineLevel="2"/>
    <col min="13" max="13" width="9.33203125" style="37" customWidth="1" outlineLevel="2"/>
    <col min="14" max="14" width="8.5" style="37" customWidth="1" outlineLevel="1"/>
    <col min="15" max="16" width="18.33203125" style="37" customWidth="1" outlineLevel="2"/>
    <col min="17" max="17" width="29.5" style="37" customWidth="1" outlineLevel="2"/>
    <col min="18" max="18" width="20.1640625" style="37" customWidth="1" outlineLevel="2"/>
    <col min="19" max="19" width="29" style="37" customWidth="1" outlineLevel="2"/>
    <col min="20" max="22" width="18.33203125" style="37" customWidth="1" outlineLevel="2"/>
    <col min="23" max="23" width="17.1640625" style="37" bestFit="1" customWidth="1" outlineLevel="1"/>
    <col min="24" max="25" width="9.1640625" style="37" hidden="1" customWidth="1" outlineLevel="2"/>
    <col min="26" max="26" width="9.33203125" style="37" hidden="1" customWidth="1" outlineLevel="2"/>
    <col min="27" max="27" width="37.5" style="35" hidden="1" customWidth="1" outlineLevel="2"/>
    <col min="28" max="33" width="19.33203125" style="38" hidden="1" customWidth="1" outlineLevel="2"/>
    <col min="34" max="34" width="19.33203125" style="38" customWidth="1" outlineLevel="1" collapsed="1"/>
    <col min="35" max="38" width="19.33203125" style="38" customWidth="1"/>
  </cols>
  <sheetData>
    <row r="1" spans="1:38">
      <c r="A1" s="7" t="s">
        <v>274</v>
      </c>
    </row>
    <row r="2" spans="1:38" ht="16" customHeight="1">
      <c r="AI2" s="58" t="s">
        <v>1</v>
      </c>
      <c r="AJ2" s="58" t="s">
        <v>2</v>
      </c>
      <c r="AK2" s="58" t="s">
        <v>3</v>
      </c>
      <c r="AL2" s="58" t="s">
        <v>4</v>
      </c>
    </row>
    <row r="3" spans="1:38">
      <c r="A3" s="49"/>
      <c r="AI3" s="32" t="str">
        <f>IF(各種設定!$G$11=0,"",各種設定!$G$11)</f>
        <v>ja</v>
      </c>
      <c r="AJ3" s="32" t="str">
        <f>IF(各種設定!$G$12=0,"",各種設定!$G$12)</f>
        <v/>
      </c>
      <c r="AK3" s="32" t="str">
        <f>IF(各種設定!$G$13=0,"",各種設定!$G$13)</f>
        <v/>
      </c>
      <c r="AL3" s="32" t="str">
        <f>IF(各種設定!$G$14=0,"",各種設定!$G$14)</f>
        <v/>
      </c>
    </row>
    <row r="4" spans="1:38">
      <c r="A4" s="34"/>
    </row>
    <row r="5" spans="1:38" s="1" customFormat="1" ht="43" customHeight="1">
      <c r="A5" s="84" t="s">
        <v>5</v>
      </c>
      <c r="B5" s="39" t="s">
        <v>6</v>
      </c>
      <c r="C5" s="39" t="s">
        <v>7</v>
      </c>
      <c r="D5" s="59" t="s">
        <v>8</v>
      </c>
      <c r="E5" s="39" t="s">
        <v>9</v>
      </c>
      <c r="F5" s="60" t="s">
        <v>10</v>
      </c>
      <c r="G5" s="60" t="s">
        <v>11</v>
      </c>
      <c r="H5" s="60" t="s">
        <v>12</v>
      </c>
      <c r="I5" s="60" t="s">
        <v>13</v>
      </c>
      <c r="J5" s="61" t="s">
        <v>14</v>
      </c>
      <c r="K5" s="60" t="s">
        <v>15</v>
      </c>
      <c r="L5" s="61" t="s">
        <v>16</v>
      </c>
      <c r="M5" s="61" t="s">
        <v>17</v>
      </c>
      <c r="N5" s="61" t="s">
        <v>18</v>
      </c>
      <c r="O5" s="61" t="s">
        <v>19</v>
      </c>
      <c r="P5" s="61" t="s">
        <v>20</v>
      </c>
      <c r="Q5" s="61" t="s">
        <v>21</v>
      </c>
      <c r="R5" s="61" t="s">
        <v>283</v>
      </c>
      <c r="S5" s="61" t="s">
        <v>22</v>
      </c>
      <c r="T5" s="61" t="s">
        <v>23</v>
      </c>
      <c r="U5" s="61" t="s">
        <v>24</v>
      </c>
      <c r="V5" s="61" t="s">
        <v>284</v>
      </c>
      <c r="W5" s="61" t="s">
        <v>25</v>
      </c>
      <c r="X5" s="89" t="s">
        <v>26</v>
      </c>
      <c r="Y5" s="89" t="s">
        <v>27</v>
      </c>
      <c r="Z5" s="89" t="s">
        <v>28</v>
      </c>
      <c r="AA5" s="89" t="s">
        <v>29</v>
      </c>
      <c r="AB5" s="89" t="s">
        <v>30</v>
      </c>
      <c r="AC5" s="89" t="s">
        <v>31</v>
      </c>
      <c r="AD5" s="89" t="s">
        <v>32</v>
      </c>
      <c r="AE5" s="89" t="s">
        <v>33</v>
      </c>
      <c r="AF5" s="89" t="s">
        <v>34</v>
      </c>
      <c r="AG5" s="89" t="s">
        <v>35</v>
      </c>
      <c r="AH5" s="61" t="s">
        <v>36</v>
      </c>
      <c r="AI5" s="60" t="s">
        <v>37</v>
      </c>
      <c r="AJ5" s="62" t="s">
        <v>38</v>
      </c>
      <c r="AK5" s="62" t="s">
        <v>39</v>
      </c>
      <c r="AL5" s="62" t="s">
        <v>40</v>
      </c>
    </row>
    <row r="6" spans="1:38" s="1" customFormat="1">
      <c r="A6" s="66"/>
      <c r="B6" s="68"/>
      <c r="C6" s="67"/>
      <c r="D6" s="104" t="str">
        <f>IF(C6="","",IF(テーブル74[[#This Row],[dataType]]="","",IF(NOT(ISNA(VLOOKUP(テーブル74[[#This Row],[dataType]], dataType定義!A:A, 1,FALSE))), "○", "×")))</f>
        <v/>
      </c>
      <c r="E6" s="69"/>
      <c r="F6" s="70"/>
      <c r="G6" s="70"/>
      <c r="H6" s="71"/>
      <c r="I6" s="71"/>
      <c r="J6" s="71"/>
      <c r="K6" s="72"/>
      <c r="L6" s="73"/>
      <c r="M6" s="68"/>
      <c r="N6" s="74"/>
      <c r="O6" s="74"/>
      <c r="P6" s="74"/>
      <c r="Q6" s="74"/>
      <c r="R6" s="74"/>
      <c r="S6" s="72"/>
      <c r="T6" s="72"/>
      <c r="U6" s="52"/>
      <c r="V6" s="52"/>
      <c r="W6" s="78"/>
      <c r="X6" s="77"/>
      <c r="Y6" s="77"/>
      <c r="Z6" s="77"/>
      <c r="AA6" s="77"/>
      <c r="AB6" s="77"/>
      <c r="AC6" s="77"/>
      <c r="AD6" s="77"/>
      <c r="AE6" s="77"/>
      <c r="AF6" s="77"/>
      <c r="AG6" s="77"/>
      <c r="AH6" s="85"/>
      <c r="AI6" s="67"/>
      <c r="AJ6" s="50"/>
      <c r="AK6" s="42"/>
      <c r="AL6" s="39"/>
    </row>
    <row r="7" spans="1:38" s="1" customFormat="1">
      <c r="A7" s="75"/>
      <c r="B7" s="77"/>
      <c r="C7" s="76"/>
      <c r="D7" s="104" t="str">
        <f>IF(C7="","",IF(テーブル74[[#This Row],[dataType]]="","",IF(NOT(ISNA(VLOOKUP(テーブル74[[#This Row],[dataType]], dataType定義!A:A, 1,FALSE))), "○", "×")))</f>
        <v/>
      </c>
      <c r="E7" s="78"/>
      <c r="F7" s="79"/>
      <c r="G7" s="79"/>
      <c r="H7" s="80"/>
      <c r="I7" s="80"/>
      <c r="J7" s="80"/>
      <c r="K7" s="52"/>
      <c r="L7" s="80"/>
      <c r="M7" s="52"/>
      <c r="N7" s="46"/>
      <c r="O7" s="46"/>
      <c r="P7" s="46"/>
      <c r="Q7" s="46"/>
      <c r="R7" s="46"/>
      <c r="S7" s="52"/>
      <c r="T7" s="52"/>
      <c r="U7" s="52"/>
      <c r="V7" s="52"/>
      <c r="W7" s="78"/>
      <c r="X7" s="52"/>
      <c r="Y7" s="52"/>
      <c r="Z7" s="52"/>
      <c r="AA7" s="52"/>
      <c r="AB7" s="52"/>
      <c r="AC7" s="52"/>
      <c r="AD7" s="52"/>
      <c r="AE7" s="52"/>
      <c r="AF7" s="52"/>
      <c r="AG7" s="52"/>
      <c r="AH7" s="86"/>
      <c r="AI7" s="76"/>
      <c r="AJ7" s="50"/>
      <c r="AK7" s="42"/>
      <c r="AL7" s="39"/>
    </row>
    <row r="8" spans="1:38" s="1" customFormat="1">
      <c r="A8" s="66"/>
      <c r="B8" s="68"/>
      <c r="C8" s="81"/>
      <c r="D8" s="104" t="str">
        <f>IF(C8="","",IF(テーブル74[[#This Row],[dataType]]="","",IF(NOT(ISNA(VLOOKUP(テーブル74[[#This Row],[dataType]], dataType定義!A:A, 1,FALSE))), "○", "×")))</f>
        <v/>
      </c>
      <c r="E8" s="69"/>
      <c r="F8" s="70"/>
      <c r="G8" s="70"/>
      <c r="H8" s="71"/>
      <c r="I8" s="69"/>
      <c r="J8" s="69"/>
      <c r="K8" s="72"/>
      <c r="L8" s="73"/>
      <c r="M8" s="68"/>
      <c r="N8" s="74"/>
      <c r="O8" s="74"/>
      <c r="P8" s="74"/>
      <c r="Q8" s="74"/>
      <c r="R8" s="74"/>
      <c r="S8" s="82"/>
      <c r="T8" s="82"/>
      <c r="U8" s="87"/>
      <c r="V8" s="87"/>
      <c r="W8" s="78"/>
      <c r="X8" s="83"/>
      <c r="Y8" s="83"/>
      <c r="Z8" s="83"/>
      <c r="AA8" s="83"/>
      <c r="AB8" s="83"/>
      <c r="AC8" s="83"/>
      <c r="AD8" s="83"/>
      <c r="AE8" s="83"/>
      <c r="AF8" s="83"/>
      <c r="AG8" s="83"/>
      <c r="AH8" s="88"/>
      <c r="AI8" s="67"/>
      <c r="AJ8" s="50"/>
      <c r="AK8" s="42"/>
      <c r="AL8" s="39"/>
    </row>
  </sheetData>
  <dataValidations count="4">
    <dataValidation type="list" allowBlank="1" showInputMessage="1" showErrorMessage="1" sqref="W6:W8 E6:M8" xr:uid="{00000000-0002-0000-0800-000000000000}">
      <formula1>"○"</formula1>
    </dataValidation>
    <dataValidation type="list" allowBlank="1" showInputMessage="1" showErrorMessage="1" sqref="N6:N8" xr:uid="{00000000-0002-0000-0800-000001000000}">
      <formula1>"CB,CD,LB,LD"</formula1>
    </dataValidation>
    <dataValidation type="list" allowBlank="1" showInputMessage="1" showErrorMessage="1" sqref="O6:O8" xr:uid="{00000000-0002-0000-0800-000002000000}">
      <formula1>"@ManyToOne,@OneToOne"</formula1>
    </dataValidation>
    <dataValidation type="list" allowBlank="1" showInputMessage="1" showErrorMessage="1" sqref="P6:P8" xr:uid="{00000000-0002-0000-0800-000003000000}">
      <formula1>"unidirectional,bidirectional"</formula1>
    </dataValidation>
  </dataValidations>
  <pageMargins left="0.7" right="0.7" top="0.75" bottom="0.75" header="0.3" footer="0.3"/>
  <pageSetup paperSize="9" scale="41" orientation="portrait"/>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8"/>
  <sheetViews>
    <sheetView workbookViewId="0"/>
  </sheetViews>
  <sheetFormatPr baseColWidth="10" defaultRowHeight="15"/>
  <cols>
    <col min="1" max="1" width="39.1640625" bestFit="1" customWidth="1"/>
    <col min="2" max="2" width="31" bestFit="1" customWidth="1"/>
    <col min="3" max="4" width="31" customWidth="1"/>
    <col min="5" max="5" width="26.33203125" bestFit="1" customWidth="1"/>
  </cols>
  <sheetData>
    <row r="1" spans="1:5">
      <c r="A1" s="7" t="s">
        <v>275</v>
      </c>
    </row>
    <row r="2" spans="1:5" ht="16" customHeight="1">
      <c r="B2" s="58" t="s">
        <v>1</v>
      </c>
      <c r="C2" s="58" t="s">
        <v>2</v>
      </c>
      <c r="D2" s="58" t="s">
        <v>3</v>
      </c>
      <c r="E2" s="58" t="s">
        <v>4</v>
      </c>
    </row>
    <row r="3" spans="1:5">
      <c r="B3" s="32" t="str">
        <f>IF(各種設定!$G$11=0,"",各種設定!$G$11)</f>
        <v>ja</v>
      </c>
      <c r="C3" s="32" t="str">
        <f>IF(各種設定!$G$12=0,"",各種設定!$G$12)</f>
        <v/>
      </c>
      <c r="D3" s="32" t="str">
        <f>IF(各種設定!$G$13=0,"",各種設定!$G$13)</f>
        <v/>
      </c>
      <c r="E3" s="32" t="str">
        <f>IF(各種設定!$G$14=0,"",各種設定!$G$14)</f>
        <v/>
      </c>
    </row>
    <row r="5" spans="1:5">
      <c r="A5" s="92" t="s">
        <v>5</v>
      </c>
      <c r="B5" s="93" t="s">
        <v>276</v>
      </c>
      <c r="C5" s="94" t="s">
        <v>277</v>
      </c>
      <c r="D5" s="94" t="s">
        <v>278</v>
      </c>
      <c r="E5" s="94" t="s">
        <v>279</v>
      </c>
    </row>
    <row r="6" spans="1:5">
      <c r="A6" s="95" t="e" cm="1" vm="1">
        <f t="array" ref="A6">_xlfn.UNIQUE(_xlfn._xlws.FILTER(テーブル7[テーブル名], テーブル7[テーブル名]&lt;&gt;""))</f>
        <v>#VALUE!</v>
      </c>
      <c r="B6" s="96"/>
      <c r="C6" s="96"/>
      <c r="D6" s="96"/>
      <c r="E6" s="97"/>
    </row>
    <row r="7" spans="1:5">
      <c r="A7" s="98"/>
      <c r="B7" s="99"/>
      <c r="C7" s="99"/>
      <c r="D7" s="99"/>
      <c r="E7" s="100"/>
    </row>
    <row r="8" spans="1:5">
      <c r="A8" s="95"/>
      <c r="B8" s="96"/>
      <c r="C8" s="96"/>
      <c r="D8" s="96"/>
      <c r="E8" s="97"/>
    </row>
    <row r="9" spans="1:5">
      <c r="A9" s="98"/>
      <c r="B9" s="99"/>
      <c r="C9" s="99"/>
      <c r="D9" s="99"/>
      <c r="E9" s="100"/>
    </row>
    <row r="10" spans="1:5">
      <c r="A10" s="95"/>
      <c r="B10" s="96"/>
      <c r="C10" s="96"/>
      <c r="D10" s="96"/>
      <c r="E10" s="97"/>
    </row>
    <row r="11" spans="1:5">
      <c r="A11" s="98"/>
      <c r="B11" s="99"/>
      <c r="C11" s="99"/>
      <c r="D11" s="99"/>
      <c r="E11" s="100"/>
    </row>
    <row r="12" spans="1:5">
      <c r="A12" s="95"/>
      <c r="B12" s="96"/>
      <c r="C12" s="96"/>
      <c r="D12" s="96"/>
      <c r="E12" s="97"/>
    </row>
    <row r="13" spans="1:5">
      <c r="A13" s="98"/>
      <c r="B13" s="99"/>
      <c r="C13" s="99"/>
      <c r="D13" s="99"/>
      <c r="E13" s="100"/>
    </row>
    <row r="14" spans="1:5">
      <c r="A14" s="95"/>
      <c r="B14" s="96"/>
      <c r="C14" s="96"/>
      <c r="D14" s="96"/>
      <c r="E14" s="97"/>
    </row>
    <row r="15" spans="1:5">
      <c r="A15" s="98"/>
      <c r="B15" s="99"/>
      <c r="C15" s="99"/>
      <c r="D15" s="99"/>
      <c r="E15" s="100"/>
    </row>
    <row r="16" spans="1:5">
      <c r="A16" s="95"/>
      <c r="B16" s="96"/>
      <c r="C16" s="96"/>
      <c r="D16" s="96"/>
      <c r="E16" s="97"/>
    </row>
    <row r="17" spans="1:5">
      <c r="A17" s="98"/>
      <c r="B17" s="99"/>
      <c r="C17" s="99"/>
      <c r="D17" s="99"/>
      <c r="E17" s="100"/>
    </row>
    <row r="18" spans="1:5">
      <c r="A18" s="95"/>
      <c r="B18" s="96"/>
      <c r="C18" s="96"/>
      <c r="D18" s="96"/>
      <c r="E18" s="97"/>
    </row>
    <row r="19" spans="1:5">
      <c r="A19" s="98"/>
      <c r="B19" s="99"/>
      <c r="C19" s="99"/>
      <c r="D19" s="99"/>
      <c r="E19" s="100"/>
    </row>
    <row r="20" spans="1:5">
      <c r="A20" s="95"/>
      <c r="B20" s="96"/>
      <c r="C20" s="96"/>
      <c r="D20" s="96"/>
      <c r="E20" s="97"/>
    </row>
    <row r="21" spans="1:5">
      <c r="A21" s="98"/>
      <c r="B21" s="99"/>
      <c r="C21" s="99"/>
      <c r="D21" s="99"/>
      <c r="E21" s="100"/>
    </row>
    <row r="22" spans="1:5">
      <c r="A22" s="95"/>
      <c r="B22" s="96"/>
      <c r="C22" s="96"/>
      <c r="D22" s="96"/>
      <c r="E22" s="97"/>
    </row>
    <row r="23" spans="1:5">
      <c r="A23" s="98"/>
      <c r="B23" s="99"/>
      <c r="C23" s="99"/>
      <c r="D23" s="99"/>
      <c r="E23" s="100"/>
    </row>
    <row r="24" spans="1:5">
      <c r="A24" s="95"/>
      <c r="B24" s="96"/>
      <c r="C24" s="96"/>
      <c r="D24" s="96"/>
      <c r="E24" s="97"/>
    </row>
    <row r="25" spans="1:5">
      <c r="A25" s="98"/>
      <c r="B25" s="99"/>
      <c r="C25" s="99"/>
      <c r="D25" s="99"/>
      <c r="E25" s="100"/>
    </row>
    <row r="26" spans="1:5">
      <c r="A26" s="95"/>
      <c r="B26" s="96"/>
      <c r="C26" s="96"/>
      <c r="D26" s="96"/>
      <c r="E26" s="97"/>
    </row>
    <row r="27" spans="1:5">
      <c r="A27" s="98"/>
      <c r="B27" s="99"/>
      <c r="C27" s="99"/>
      <c r="D27" s="99"/>
      <c r="E27" s="100"/>
    </row>
    <row r="28" spans="1:5">
      <c r="A28" s="101"/>
      <c r="B28" s="90"/>
      <c r="C28" s="90"/>
      <c r="D28" s="90"/>
      <c r="E28" s="9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dataTypeプルダウン項目</vt:lpstr>
      <vt:lpstr>dataType・データパターン一覧</vt:lpstr>
      <vt:lpstr>FK種類</vt:lpstr>
      <vt:lpstr>fmt変更履歴</vt:lpstr>
      <vt:lpstr>各種設定</vt:lpstr>
      <vt:lpstr>dataType定義</vt:lpstr>
      <vt:lpstr>enum定義</vt:lpstr>
      <vt:lpstr>DB項目定義</vt:lpstr>
      <vt:lpstr>DB共通項目定義</vt:lpstr>
      <vt:lpstr>テーブル一覧</vt:lpstr>
      <vt:lpstr>DB項目定義!Print_Area</vt:lpstr>
      <vt:lpstr>一般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田中庸介</cp:lastModifiedBy>
  <dcterms:created xsi:type="dcterms:W3CDTF">2006-09-16T00:00:00Z</dcterms:created>
  <dcterms:modified xsi:type="dcterms:W3CDTF">2026-10-28T19:12:01Z</dcterms:modified>
</cp:coreProperties>
</file>