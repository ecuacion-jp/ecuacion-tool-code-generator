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24226"/>
  <mc:AlternateContent xmlns:mc="http://schemas.openxmlformats.org/markup-compatibility/2006">
    <mc:Choice Requires="x15">
      <x15ac:absPath xmlns:x15ac="http://schemas.microsoft.com/office/spreadsheetml/2010/11/ac" url="/Users/yosuke.tanaka/Desktop/development/git/ecuacion-tool-code-generator/excel-format/"/>
    </mc:Choice>
  </mc:AlternateContent>
  <xr:revisionPtr revIDLastSave="0" documentId="13_ncr:1_{46573E9E-7A3D-9E44-A74D-D4583D108F07}" xr6:coauthVersionLast="47" xr6:coauthVersionMax="47" xr10:uidLastSave="{00000000-0000-0000-0000-000000000000}"/>
  <bookViews>
    <workbookView xWindow="0" yWindow="500" windowWidth="28800" windowHeight="12220" tabRatio="853" activeTab="4" xr2:uid="{00000000-000D-0000-FFFF-FFFF00000000}"/>
  </bookViews>
  <sheets>
    <sheet name="dataTypeプルダウン項目" sheetId="1" r:id="rId1"/>
    <sheet name="dataType・データパターン一覧" sheetId="2" state="hidden" r:id="rId2"/>
    <sheet name="FK種類" sheetId="3" state="hidden" r:id="rId3"/>
    <sheet name="fmt変更履歴" sheetId="4" r:id="rId4"/>
    <sheet name="各種設定" sheetId="5" r:id="rId5"/>
    <sheet name="dataType定義" sheetId="6" r:id="rId6"/>
    <sheet name="enum定義" sheetId="7" r:id="rId7"/>
    <sheet name="DB項目定義" sheetId="8" r:id="rId8"/>
    <sheet name="DB共通項目定義" sheetId="9" r:id="rId9"/>
    <sheet name="テーブル一覧" sheetId="10" r:id="rId10"/>
  </sheets>
  <definedNames>
    <definedName name="_xlnm.Print_Area" localSheetId="7">DB項目定義!$A$1:$Z$5</definedName>
    <definedName name="一般">dataTypeプルダウン項目!$A$3:$A$16</definedName>
    <definedName name="固定フォーマット">dataTypeプルダウン項目!#REF!</definedName>
    <definedName name="日時">dataTypeプルダウン項目!#REF!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0" l="1" a="1"/>
  <c r="A22" i="10" s="1"/>
  <c r="E3" i="10"/>
  <c r="D3" i="10"/>
  <c r="C3" i="10"/>
  <c r="B3" i="10"/>
  <c r="D13" i="9"/>
  <c r="D12" i="9"/>
  <c r="D11" i="9"/>
  <c r="D10" i="9"/>
  <c r="D9" i="9"/>
  <c r="D8" i="9"/>
  <c r="D7" i="9"/>
  <c r="D6" i="9"/>
  <c r="AK3" i="9"/>
  <c r="AJ3" i="9"/>
  <c r="AI3" i="9"/>
  <c r="AH3" i="9"/>
  <c r="I4" i="7"/>
  <c r="H4" i="7"/>
  <c r="G4" i="7"/>
  <c r="F4" i="7"/>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S3" i="6"/>
  <c r="R3" i="6"/>
  <c r="Q3" i="6"/>
  <c r="P3" i="6"/>
  <c r="A28" i="5"/>
  <c r="A27" i="5"/>
  <c r="A26" i="5"/>
  <c r="A25" i="5"/>
  <c r="A24" i="5"/>
  <c r="A23" i="5"/>
  <c r="A22" i="5"/>
  <c r="A21" i="5"/>
  <c r="A20" i="5"/>
  <c r="A19" i="5"/>
  <c r="A18" i="5"/>
  <c r="A17" i="5"/>
  <c r="A16" i="5"/>
  <c r="A15" i="5"/>
  <c r="A14" i="5"/>
  <c r="A13" i="5"/>
  <c r="A12" i="5"/>
  <c r="A11" i="5"/>
  <c r="A10" i="5"/>
  <c r="A9" i="5"/>
  <c r="A8" i="5"/>
  <c r="A7" i="5"/>
  <c r="A6" i="5"/>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AK3" i="8"/>
  <c r="AJ3" i="8"/>
  <c r="AI3" i="8"/>
  <c r="AH3" i="8"/>
  <c r="A7" i="10" l="1"/>
  <c r="A15" i="10"/>
  <c r="A8" i="10"/>
  <c r="A16" i="10"/>
  <c r="A9" i="10"/>
  <c r="A17" i="10"/>
  <c r="A10" i="10"/>
  <c r="A18" i="10"/>
  <c r="A11" i="10"/>
  <c r="A19" i="10"/>
  <c r="A12" i="10"/>
  <c r="A20" i="10"/>
  <c r="A6" i="10"/>
  <c r="A13" i="10"/>
  <c r="A21" i="10"/>
  <c r="A1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I5" authorId="0" shapeId="0" xr:uid="{00000000-0006-0000-0500-000001000000}">
      <text>
        <r>
          <rPr>
            <sz val="11"/>
            <color theme="1"/>
            <rFont val="Calibri"/>
            <family val="2"/>
            <scheme val="minor"/>
          </rPr>
          <t>short、int、Long、float, double, BigInteger、BigDecimalの場合
※beanValidationの仕様としては、byte型も上記2つのannotationで使用可能だが、codegeneratorとしては除外している。必要なら追加</t>
        </r>
      </text>
    </comment>
    <comment ref="L7" authorId="0" shapeId="0" xr:uid="{00000000-0006-0000-0500-000003000000}">
      <text>
        <r>
          <rPr>
            <sz val="11"/>
            <color theme="1"/>
            <rFont val="Calibri"/>
            <family val="2"/>
            <scheme val="minor"/>
          </rPr>
          <t>BigDecimalの場合のみ記載可。</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<sst xmlns="http://schemas.openxmlformats.org/spreadsheetml/2006/main" count="465" uniqueCount="282">
  <si>
    <t>DB項目定義</t>
  </si>
  <si>
    <t>デフォルト言語</t>
  </si>
  <si>
    <t>追加言語1</t>
  </si>
  <si>
    <t>追加言語2</t>
  </si>
  <si>
    <t>追加言語3</t>
  </si>
  <si>
    <t>テーブル名</t>
  </si>
  <si>
    <t>カラム名</t>
  </si>
  <si>
    <t>dataType</t>
  </si>
  <si>
    <t>dataType存在確認</t>
  </si>
  <si>
    <t>javaのみ</t>
  </si>
  <si>
    <t xml:space="preserve">Surrogate key </t>
  </si>
  <si>
    <t>natural key (unique key)</t>
  </si>
  <si>
    <t>nullable</t>
  </si>
  <si>
    <t>自動採番</t>
  </si>
  <si>
    <t>強制採番</t>
  </si>
  <si>
    <t>自動更新</t>
  </si>
  <si>
    <t>強制更新</t>
  </si>
  <si>
    <t>グループ識別項目</t>
  </si>
  <si>
    <t>SPRING監査</t>
  </si>
  <si>
    <t>関連：種類</t>
  </si>
  <si>
    <t>関連：direction</t>
  </si>
  <si>
    <t>関連：参照元変数名</t>
  </si>
  <si>
    <t>関連：参照元オブジェクト変数名</t>
  </si>
  <si>
    <t>関連：参照先テーブル</t>
  </si>
  <si>
    <t>関連：参照先カラム</t>
  </si>
  <si>
    <t>関連：参照先変数名</t>
  </si>
  <si>
    <t>関連：eager</t>
  </si>
  <si>
    <t>index1</t>
  </si>
  <si>
    <t>index2</t>
  </si>
  <si>
    <t>index3</t>
  </si>
  <si>
    <t>index4</t>
  </si>
  <si>
    <t>index5</t>
  </si>
  <si>
    <t>index6</t>
  </si>
  <si>
    <t>index7</t>
  </si>
  <si>
    <t>index8</t>
  </si>
  <si>
    <t>index9</t>
  </si>
  <si>
    <t>index10</t>
  </si>
  <si>
    <t>備考</t>
  </si>
  <si>
    <t>カラム表示名（デフォルト言語）</t>
  </si>
  <si>
    <t>カラム表示名（追加言語1）</t>
  </si>
  <si>
    <t>カラム表示名（追加言語2）</t>
  </si>
  <si>
    <t>カラム表示名（追加言語3）</t>
  </si>
  <si>
    <t>dataType定義</t>
  </si>
  <si>
    <t>一般</t>
  </si>
  <si>
    <t>型</t>
  </si>
  <si>
    <t>FRAMEWORK_KIND</t>
  </si>
  <si>
    <t>全半角（制限なし）</t>
  </si>
  <si>
    <t>STRING</t>
  </si>
  <si>
    <t>Spring Framework</t>
  </si>
  <si>
    <t>全角</t>
  </si>
  <si>
    <t>INTEGER</t>
  </si>
  <si>
    <t>半角</t>
  </si>
  <si>
    <t>SHORT</t>
  </si>
  <si>
    <t>半角数字</t>
  </si>
  <si>
    <t>LONG</t>
  </si>
  <si>
    <t>英大文字</t>
  </si>
  <si>
    <t>FLOAT</t>
  </si>
  <si>
    <t>英大文字＋_</t>
  </si>
  <si>
    <t>DOUBLE</t>
  </si>
  <si>
    <t>英小文字</t>
  </si>
  <si>
    <t>BIG_INTEGER</t>
  </si>
  <si>
    <t>英小文字＋_</t>
  </si>
  <si>
    <t>BIG_DECIMAL</t>
  </si>
  <si>
    <t>半角数字＋英大文字</t>
  </si>
  <si>
    <t>YEAR_MONTH</t>
  </si>
  <si>
    <t>半角数字＋英大文字＋_</t>
  </si>
  <si>
    <t>DATE</t>
  </si>
  <si>
    <t>半角数字＋英小文字</t>
  </si>
  <si>
    <t>TIME</t>
  </si>
  <si>
    <t>半角数字＋英小文字＋_</t>
  </si>
  <si>
    <t>DATE_TIME</t>
  </si>
  <si>
    <t>半角英字</t>
  </si>
  <si>
    <t>TIMESTAMP</t>
  </si>
  <si>
    <t>半角英字＋_</t>
  </si>
  <si>
    <t>ENUM</t>
  </si>
  <si>
    <t>BOOLEAN</t>
  </si>
  <si>
    <t>※"jakarta EE" assumued but not ready</t>
  </si>
  <si>
    <t>データパターン</t>
  </si>
  <si>
    <t>enumValue</t>
  </si>
  <si>
    <t>REG_EX_ALL</t>
  </si>
  <si>
    <t>REG_EX_HAN</t>
  </si>
  <si>
    <t>REG_EX_HAN_NUM</t>
  </si>
  <si>
    <t>REG_EX_HAN_UC</t>
  </si>
  <si>
    <t>REG_EX_HAN_UC_US</t>
  </si>
  <si>
    <t>REG_EX_HAN_LC</t>
  </si>
  <si>
    <t>REG_EX_HAN_LC_US</t>
  </si>
  <si>
    <t>REG_EX_HAN_NUM_UC</t>
  </si>
  <si>
    <t>REG_EX_HAN_NUM_UC_US</t>
  </si>
  <si>
    <t>REG_EX_HAN_NUM_LC</t>
  </si>
  <si>
    <t>REG_EX_HAN_NUM_LC_US</t>
  </si>
  <si>
    <t>REG_EX_HAN_NUM_UC_LC</t>
  </si>
  <si>
    <t>REG_EX_HAN_NUM_UC_LC_US</t>
  </si>
  <si>
    <t>REG_EX_ZEN</t>
  </si>
  <si>
    <t>FK種類（日本語）</t>
  </si>
  <si>
    <t>FK種類</t>
  </si>
  <si>
    <t>方向</t>
  </si>
  <si>
    <t>参照元1・参照先1（一方向）</t>
  </si>
  <si>
    <t>OneToOne</t>
  </si>
  <si>
    <t>unidirectional</t>
  </si>
  <si>
    <t>参照元1・参照先1（双方向）</t>
  </si>
  <si>
    <t>bidirectional</t>
  </si>
  <si>
    <t>参照元N・参照先1（一方向）</t>
  </si>
  <si>
    <t>ManyToOne</t>
  </si>
  <si>
    <t>※以下は処理速度を鑑みて、FWでは対応していない</t>
  </si>
  <si>
    <t>参照元1・参照先N（一方向）</t>
  </si>
  <si>
    <t>参照元N・参照先1／参照元1・参照先N（双方向）</t>
  </si>
  <si>
    <t>参照元M・参照先N（一方向）</t>
  </si>
  <si>
    <t>参照元M・参照先N（双方向）</t>
  </si>
  <si>
    <t>フォーマット変更履歴</t>
  </si>
  <si>
    <t>日付</t>
  </si>
  <si>
    <t>バージョン</t>
  </si>
  <si>
    <t>修正事項</t>
  </si>
  <si>
    <t>修正者</t>
  </si>
  <si>
    <t>v1.00</t>
  </si>
  <si>
    <t>初版</t>
  </si>
  <si>
    <t>田中</t>
  </si>
  <si>
    <t>v1.01</t>
  </si>
  <si>
    <t>カラム表示名をxmlに追加</t>
  </si>
  <si>
    <t>v1.02</t>
  </si>
  <si>
    <t>dataTypeをソースに反映するように変更</t>
  </si>
  <si>
    <t>v1.03</t>
  </si>
  <si>
    <t>・DB、class項目定義に「dataType存在確認」列を追加
・DB共通項目定義を追加</t>
  </si>
  <si>
    <t>v1.04</t>
  </si>
  <si>
    <t>excel関数追加など利便性向上（出力結果に変更なし）</t>
  </si>
  <si>
    <t>v2.00</t>
  </si>
  <si>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</si>
  <si>
    <t>v2.01</t>
  </si>
  <si>
    <t>・列の幅変更
・class項目定義のxml対応づけがおかしかったので修正</t>
  </si>
  <si>
    <t>v2.02</t>
  </si>
  <si>
    <t>・dataTypeInfoのxml対応付けがおかしかったので修正</t>
  </si>
  <si>
    <t>v2.03</t>
  </si>
  <si>
    <t>・「DBテーブル定義」シートを追加
・「共通定義」シートを追加
・basePackageを共通定義シートに集約したので、各シートのbasePackageを削除</t>
  </si>
  <si>
    <t>v2.04</t>
  </si>
  <si>
    <t>・dataTypeが、エクセルの日本語からgetEnumFromNameする仕組みだったが、これだとWindows-31jとUTF-8が共存できないため、getEnumFromNameはアルファベットの文字から行うよう仕様変更</t>
  </si>
  <si>
    <t>v2.05</t>
  </si>
  <si>
    <t>・複数言語対応（enum、DB項目）
・「projectType」をシステム共通定義に追加</t>
  </si>
  <si>
    <t>v2.06</t>
  </si>
  <si>
    <t>・「dateType参照定義」というシート名になっていたので、「dataType参照定義」に変更
・DB項目定義シートで、dataTypeの存在確認のための関数が「○」の文字列になってしまっていたので修正
　（出力xmlの変更なし）</t>
  </si>
  <si>
    <t>v3.00</t>
  </si>
  <si>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</si>
  <si>
    <t>v3.01</t>
  </si>
  <si>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</si>
  <si>
    <t>v3.02</t>
  </si>
  <si>
    <t>・選択可能な型が、code-generator側で対応しているものよりも少なかったので追加
・Indexの仕様を追加</t>
  </si>
  <si>
    <t>v3.03</t>
  </si>
  <si>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</si>
  <si>
    <t>v3.04</t>
  </si>
  <si>
    <t>・「DBテーブルFK定義」シートを追加
・論理削除、グループ指定の記述がわかりにくかったので、queryInfoはやめて、「その他定義」として別途定義。Query定義は廃止
・DataTypeの型を、INT→INTEGERに変更（共通化のため）</t>
  </si>
  <si>
    <t>v3.05</t>
  </si>
  <si>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</si>
  <si>
    <t>v4.0.0</t>
  </si>
  <si>
    <t>xmlを介さずexcelのまま読み込ませる方式を追加。
code-generatorとしては既存のxmlでの読み込みは継続しつつ、excelがあればexcelを優先で読み込む形とする</t>
  </si>
  <si>
    <t>v4.1.0</t>
  </si>
  <si>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</si>
  <si>
    <t>v4.1.1</t>
  </si>
  <si>
    <t>表記上の文言変更</t>
  </si>
  <si>
    <t>v4.2.0</t>
  </si>
  <si>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</si>
  <si>
    <t>v4.2.1</t>
  </si>
  <si>
    <t>・readmeシートの文言更新
・「DB項目定義」シートの「dataType存在確認」の関数が壊れていたので修正</t>
  </si>
  <si>
    <t>v4.3.0</t>
  </si>
  <si>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</si>
  <si>
    <t>v4.3.1</t>
  </si>
  <si>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</si>
  <si>
    <t>v4.4.0</t>
  </si>
  <si>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</si>
  <si>
    <t>v4.5.0</t>
  </si>
  <si>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</si>
  <si>
    <t>v4.6.0</t>
  </si>
  <si>
    <t>■バージョン情報
・対応code-generator version: 10.24以降
・前minorバージョンからのformat移行が必要な場合
　-　全パターン（DB項目定義の項目追加のため）
■変更内容
・DB項目定義、DB共通項目定義に、関連：参照先変数名の列を追加</t>
  </si>
  <si>
    <t>v4.7.0</t>
  </si>
  <si>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</si>
  <si>
    <t>v4.8.0</t>
  </si>
  <si>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</si>
  <si>
    <t>v4.9.0</t>
  </si>
  <si>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</si>
  <si>
    <t>v4.9.1</t>
  </si>
  <si>
    <t>各種表示文言修正（機能仕様変更なし）</t>
  </si>
  <si>
    <t>v4.10.0</t>
  </si>
  <si>
    <t>■バージョン情報
・対応code-generator version: 14.9以降
・前minorバージョンからのformat移行が必要な場合
　-「dataType定義」の「型」でYEAR_MONTHを使用する場合
■変更内容
・型にYEAR_MONTHを追加</t>
  </si>
  <si>
    <t>v4.11.0</t>
  </si>
  <si>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</si>
  <si>
    <t>（続き）</t>
  </si>
  <si>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</si>
  <si>
    <t>v5.0.0</t>
  </si>
  <si>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
　・「関連：参照元オブジェクト変数名」列を追加</t>
  </si>
  <si>
    <t>各種設定</t>
  </si>
  <si>
    <t>※「値」、「備考」列に記入。それ以外の列には触らないこと。「備考」は任意記載（システム影響なし）。</t>
  </si>
  <si>
    <t>#</t>
  </si>
  <si>
    <t>分類</t>
  </si>
  <si>
    <t>分類名</t>
  </si>
  <si>
    <t>項目</t>
  </si>
  <si>
    <t>説明</t>
  </si>
  <si>
    <t>必須</t>
  </si>
  <si>
    <t>値</t>
  </si>
  <si>
    <t>SYSTEM_COMMON</t>
  </si>
  <si>
    <t>システム共通</t>
  </si>
  <si>
    <t>TEMPLATE_VERSION</t>
  </si>
  <si>
    <t>本エクセルファイルのテンプレートのバージョン</t>
  </si>
  <si>
    <t>◯</t>
  </si>
  <si>
    <t>5.0.0</t>
  </si>
  <si>
    <t>SYSTEM_NAME</t>
  </si>
  <si>
    <t>システム名
※自動生成されたソースの親フォルダ名として使用</t>
  </si>
  <si>
    <t>BASE_PACKAGE</t>
  </si>
  <si>
    <t>packageの共通部分</t>
  </si>
  <si>
    <t>frameworkの種類
※指定した種類により生成されるコードが異なる</t>
  </si>
  <si>
    <t>CHARSET</t>
  </si>
  <si>
    <t>ソースコードの文字コード("UTF-8"推奨）</t>
  </si>
  <si>
    <t>LANG_DEFAULT</t>
  </si>
  <si>
    <t>デフォルト言語
※"en"などlocaleとして定義されている文字列を指定。en_US等も可能</t>
  </si>
  <si>
    <t>LANG_SUPPORT_01</t>
  </si>
  <si>
    <t>サポート言語1
※サポート言語は1, 2, 3の順序で入力。1が空欄、2が入力の状態等はエラー</t>
  </si>
  <si>
    <t>LANG_SUPPORT_02</t>
  </si>
  <si>
    <t>サポート言語2</t>
  </si>
  <si>
    <t>LANG_SUPPORT_03</t>
  </si>
  <si>
    <t>サポート言語3</t>
  </si>
  <si>
    <t>PROHIBITED_CHARS</t>
  </si>
  <si>
    <t>禁則文字</t>
  </si>
  <si>
    <t>PROHIBITED_CHARS_DESC_LANG_DEFAULT</t>
  </si>
  <si>
    <t>禁則文字パターン説明（デフォルト言語）
※「禁則文字」が空欄でない場合は必須</t>
  </si>
  <si>
    <t>PROHIBITED_CHARS_DESC_LANG_SUPPORT_01</t>
  </si>
  <si>
    <t>禁則文字パターン説明（追加言語1）
※「禁則文字」が空欄でない、かつ「サポート言語1」が空欄でない場合は必須</t>
  </si>
  <si>
    <t>PROHIBITED_CHARS_DESC_LANG_SUPPORT_02</t>
  </si>
  <si>
    <t>禁則文字パターン説明（追加言語2）
※「禁則文字」が空欄でない、かつ「サポート言語2」が空欄でない場合は必須</t>
  </si>
  <si>
    <t>PROHIBITED_CHARS_DESC_LANG_SUPPORT_03</t>
  </si>
  <si>
    <t>禁則文字パターン説明（追加言語3）
※「禁則文字」が空欄でない、かつ「サポート言語3」が空欄でない場合は必須</t>
  </si>
  <si>
    <t>LOGICAL_DELETE</t>
  </si>
  <si>
    <t>論理削除</t>
  </si>
  <si>
    <t>COLUMN_NAME</t>
  </si>
  <si>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</si>
  <si>
    <t>DATA_TYPE_NAME</t>
  </si>
  <si>
    <t>DataType名
※本バージョンではBOOLEAN型のDataTypeのみ選択可</t>
  </si>
  <si>
    <t>DEFAULT_VALUE</t>
  </si>
  <si>
    <t>初期値（論理削除前）
※DataTypeがBOOLEAN型の場合はtrue/falseを指定</t>
  </si>
  <si>
    <t>UPDATE_VALUE</t>
  </si>
  <si>
    <t>更新値（論理削除後）
※記述方法は「DEFAULT_VALUE」を参照</t>
  </si>
  <si>
    <t>GROUPING</t>
  </si>
  <si>
    <t>他グループを閲覧不可とする設定</t>
  </si>
  <si>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</si>
  <si>
    <t>DataType名</t>
  </si>
  <si>
    <t>TABLE_NAMES_WITHOUT_GROUPING</t>
  </si>
  <si>
    <t>意図しない設定漏れを防ぐため、グループ設定なしのテーブルを明示
※複数ある場合は"TABLE_1,TABLE_2"のようにCSVで記載。</t>
  </si>
  <si>
    <t>OPTIMISTIC_LOCKING</t>
  </si>
  <si>
    <t>楽観的排他制御</t>
  </si>
  <si>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</si>
  <si>
    <t>※DataType名のプレフィックスは「DT_」固定</t>
  </si>
  <si>
    <t>共通</t>
  </si>
  <si>
    <t>STRINGの場合の入力項目</t>
  </si>
  <si>
    <t>数値系の場合の入力項目</t>
  </si>
  <si>
    <t>Enumの
場合</t>
  </si>
  <si>
    <t>日時の
場合</t>
  </si>
  <si>
    <t>任意</t>
  </si>
  <si>
    <t>長さ最小</t>
  </si>
  <si>
    <t>長さ最大</t>
  </si>
  <si>
    <t>データパターン（日本語）</t>
  </si>
  <si>
    <t>禁則文字チェック除外</t>
  </si>
  <si>
    <t>正規表現</t>
  </si>
  <si>
    <t>最小値</t>
  </si>
  <si>
    <t>最大値</t>
  </si>
  <si>
    <t>整数部桁数</t>
  </si>
  <si>
    <t>小数部桁数</t>
  </si>
  <si>
    <t>コードの長さ</t>
  </si>
  <si>
    <t>timezoneなし</t>
  </si>
  <si>
    <t>パターン説明（デフォルト言語）</t>
  </si>
  <si>
    <t>パターン説明（追加言語1）</t>
  </si>
  <si>
    <t>パターン説明（追加言語2）</t>
  </si>
  <si>
    <t>パターン説明（追加言語）</t>
  </si>
  <si>
    <t>enum定義</t>
  </si>
  <si>
    <t>※Enumクラス名は、DataType名を元に自動生成される。</t>
  </si>
  <si>
    <t>　　例）DT_TRANSACTION_STATUS　→　Enumクラス名：TransactionStatusEnum</t>
  </si>
  <si>
    <t>code</t>
  </si>
  <si>
    <t>varName</t>
  </si>
  <si>
    <t>表示名（デフォルト言語）</t>
  </si>
  <si>
    <t>表示名（追加言語1）</t>
  </si>
  <si>
    <t>表示名（追加言語2）</t>
  </si>
  <si>
    <t>表示名（追加言語3）</t>
  </si>
  <si>
    <t>DB共通項目定義</t>
  </si>
  <si>
    <t>テーブル一覧</t>
  </si>
  <si>
    <t>テーブル表示名（デフォルト言語）</t>
  </si>
  <si>
    <t>テーブル表示名（追加言語1）</t>
  </si>
  <si>
    <t>テーブル表示名（追加言語2）</t>
  </si>
  <si>
    <t>テーブル表示名（追加言語3）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</si>
</sst>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scheme val="minor"/>
    </font>
    <font>
      <b/>
      <sz val="11"/>
      <color theme="0"/>
      <name val="Calibri"/>
      <family val="2"/>
      <scheme val="minor"/>
    </font>
    <font>
      <sz val="11"/>
      <name val="Calibri"/>
      <family val="3"/>
      <charset val="128"/>
      <scheme val="minor"/>
    </font>
    <font>
      <b/>
      <u/>
      <sz val="11"/>
      <color theme="1"/>
      <name val="Calibri"/>
      <family val="3"/>
      <charset val="128"/>
      <scheme val="minor"/>
    </font>
    <font>
      <sz val="11"/>
      <color theme="1"/>
      <name val="Calibri"/>
      <family val="2"/>
      <scheme val="minor"/>
    </font>
    <font>
      <b/>
      <sz val="11"/>
      <color theme="0"/>
      <name val="Calibri"/>
      <family val="2"/>
      <scheme val="minor"/>
    </font>
    <font>
      <sz val="36"/>
      <color rgb="FF212121"/>
      <name val="Inherit"/>
      <family val="2"/>
    </font>
    <font>
      <sz val="12"/>
      <color rgb="FF333333"/>
      <name val="Verdana"/>
      <family val="2"/>
    </font>
    <font>
      <sz val="11"/>
      <color rgb="FF000000"/>
      <name val="Calibri"/>
      <family val="2"/>
      <charset val="128"/>
      <scheme val="minor"/>
    </font>
    <font>
      <sz val="11"/>
      <name val="Calibri"/>
      <family val="2"/>
      <scheme val="minor"/>
    </font>
    <font>
      <sz val="11"/>
      <name val="Calibri"/>
      <family val="2"/>
      <charset val="128"/>
      <scheme val="minor"/>
    </font>
    <font>
      <sz val="11"/>
      <color rgb="FF000000"/>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1" tint="0.34998626667073579"/>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1" tint="0.49998474074526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1"/>
      </top>
      <bottom style="thin">
        <color theme="6" tint="0.39997558519241921"/>
      </bottom>
      <diagonal/>
    </border>
    <border>
      <left/>
      <right/>
      <top style="thin">
        <color theme="4" tint="0.39997558519241921"/>
      </top>
      <bottom style="thin">
        <color theme="4" tint="0.399975585192419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4" tint="0.39997558519241921"/>
      </left>
      <right/>
      <top style="thin">
        <color theme="4" tint="0.39997558519241921"/>
      </top>
      <bottom style="thin">
        <color theme="4" tint="0.39997558519241921"/>
      </bottom>
      <diagonal/>
    </border>
    <border>
      <left/>
      <right/>
      <top style="thin">
        <color theme="6"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s>
  <cellStyleXfs count="2">
    <xf numFmtId="0" fontId="0" fillId="0" borderId="0"/>
    <xf numFmtId="0" fontId="2" fillId="0" borderId="0">
      <alignment vertical="center"/>
    </xf>
  </cellStyleXfs>
  <cellXfs count="134">
    <xf numFmtId="0" fontId="0" fillId="0" borderId="0" xfId="0"/>
    <xf numFmtId="0" fontId="0" fillId="0" borderId="0" xfId="0" applyAlignment="1">
      <alignment vertical="center"/>
    </xf>
    <xf numFmtId="49" fontId="0" fillId="0" borderId="0" xfId="0" applyNumberFormat="1" applyAlignment="1">
      <alignment vertical="center"/>
    </xf>
    <xf numFmtId="49" fontId="0" fillId="0" borderId="0" xfId="0" applyNumberFormat="1"/>
    <xf numFmtId="0" fontId="0" fillId="0" borderId="0" xfId="0" applyAlignment="1">
      <alignment horizontal="center" vertical="center"/>
    </xf>
    <xf numFmtId="49" fontId="0" fillId="0" borderId="0" xfId="0" applyNumberFormat="1" applyAlignment="1">
      <alignment horizontal="center" vertical="center" wrapText="1"/>
    </xf>
    <xf numFmtId="49" fontId="0" fillId="0" borderId="0" xfId="0" applyNumberFormat="1" applyAlignment="1" applyProtection="1">
      <alignment vertical="center"/>
      <protection locked="0"/>
    </xf>
    <xf numFmtId="49" fontId="3" fillId="0" borderId="0" xfId="0" applyNumberFormat="1" applyFont="1" applyProtection="1">
      <protection locked="0"/>
    </xf>
    <xf numFmtId="49" fontId="0" fillId="0" borderId="0" xfId="0" applyNumberFormat="1" applyAlignment="1" applyProtection="1">
      <alignment horizontal="center" vertical="center"/>
      <protection locked="0"/>
    </xf>
    <xf numFmtId="49" fontId="0" fillId="0" borderId="0" xfId="0" applyNumberFormat="1" applyAlignment="1" applyProtection="1">
      <alignment horizontal="center"/>
      <protection locked="0"/>
    </xf>
    <xf numFmtId="0" fontId="0" fillId="0" borderId="0" xfId="0" applyAlignment="1">
      <alignment horizontal="center"/>
    </xf>
    <xf numFmtId="0" fontId="0" fillId="0" borderId="0" xfId="0" applyAlignment="1">
      <alignment horizontal="right"/>
    </xf>
    <xf numFmtId="0" fontId="3" fillId="0" borderId="0" xfId="0" applyFont="1"/>
    <xf numFmtId="14" fontId="0" fillId="0" borderId="0" xfId="0" applyNumberFormat="1" applyAlignment="1">
      <alignment vertical="center"/>
    </xf>
    <xf numFmtId="0" fontId="0" fillId="0" borderId="0" xfId="0" applyAlignment="1">
      <alignment horizontal="right" vertical="center"/>
    </xf>
    <xf numFmtId="0" fontId="0" fillId="0" borderId="0" xfId="0" applyAlignment="1">
      <alignment vertical="center" wrapText="1"/>
    </xf>
    <xf numFmtId="49" fontId="0" fillId="0" borderId="0" xfId="0" applyNumberFormat="1" applyAlignment="1">
      <alignment horizontal="left" vertical="center"/>
    </xf>
    <xf numFmtId="49" fontId="0" fillId="0" borderId="2" xfId="0" applyNumberFormat="1" applyBorder="1" applyAlignment="1">
      <alignment horizontal="left" vertical="center"/>
    </xf>
    <xf numFmtId="49" fontId="0" fillId="0" borderId="1" xfId="0" applyNumberFormat="1" applyBorder="1" applyAlignment="1">
      <alignment horizontal="left" vertical="center"/>
    </xf>
    <xf numFmtId="0" fontId="0" fillId="0" borderId="1" xfId="0" applyBorder="1"/>
    <xf numFmtId="0" fontId="0" fillId="5" borderId="0" xfId="0" applyFill="1" applyAlignment="1">
      <alignment horizontal="center"/>
    </xf>
    <xf numFmtId="49" fontId="0" fillId="5" borderId="0" xfId="0" applyNumberFormat="1" applyFill="1" applyAlignment="1">
      <alignment horizontal="center"/>
    </xf>
    <xf numFmtId="49" fontId="0" fillId="7" borderId="0" xfId="0" applyNumberFormat="1" applyFill="1" applyAlignment="1">
      <alignment horizontal="center"/>
    </xf>
    <xf numFmtId="49" fontId="0" fillId="0" borderId="0" xfId="0" applyNumberFormat="1" applyAlignment="1">
      <alignment vertical="center" wrapText="1"/>
    </xf>
    <xf numFmtId="49" fontId="0" fillId="4" borderId="0" xfId="0" applyNumberFormat="1" applyFill="1"/>
    <xf numFmtId="49" fontId="0" fillId="0" borderId="0" xfId="0" applyNumberFormat="1" applyAlignment="1" applyProtection="1">
      <alignment horizontal="left" vertical="center" wrapText="1"/>
      <protection locked="0"/>
    </xf>
    <xf numFmtId="0" fontId="0" fillId="7" borderId="0" xfId="0" applyFill="1" applyAlignment="1">
      <alignment horizontal="center"/>
    </xf>
    <xf numFmtId="0" fontId="0" fillId="0" borderId="0" xfId="0" applyAlignment="1">
      <alignment horizontal="center" vertical="center" wrapText="1"/>
    </xf>
    <xf numFmtId="0" fontId="0" fillId="2" borderId="0" xfId="0" applyFill="1" applyAlignment="1">
      <alignment horizontal="center" vertical="center"/>
    </xf>
    <xf numFmtId="49" fontId="3" fillId="0" borderId="0" xfId="0" applyNumberFormat="1" applyFont="1" applyAlignment="1" applyProtection="1">
      <alignment vertical="center"/>
      <protection locked="0"/>
    </xf>
    <xf numFmtId="49" fontId="0" fillId="11" borderId="0" xfId="0" applyNumberFormat="1" applyFill="1" applyAlignment="1">
      <alignment horizontal="center" vertical="center" wrapText="1"/>
    </xf>
    <xf numFmtId="49" fontId="0" fillId="10" borderId="0" xfId="0" applyNumberFormat="1" applyFill="1" applyAlignment="1">
      <alignment horizontal="center"/>
    </xf>
    <xf numFmtId="0" fontId="0" fillId="0" borderId="4" xfId="0" applyBorder="1"/>
    <xf numFmtId="49" fontId="0" fillId="0" borderId="0" xfId="0" applyNumberFormat="1" applyAlignment="1">
      <alignment horizontal="left" vertical="center" wrapText="1"/>
    </xf>
    <xf numFmtId="49" fontId="7" fillId="0" borderId="0" xfId="0" applyNumberFormat="1" applyFont="1" applyProtection="1">
      <protection locked="0"/>
    </xf>
    <xf numFmtId="49" fontId="8" fillId="0" borderId="0" xfId="0" applyNumberFormat="1" applyFont="1" applyProtection="1">
      <protection locked="0"/>
    </xf>
    <xf numFmtId="0" fontId="8" fillId="0" borderId="0" xfId="0" applyFont="1" applyAlignment="1" applyProtection="1">
      <alignment horizontal="center"/>
      <protection locked="0"/>
    </xf>
    <xf numFmtId="49" fontId="8" fillId="0" borderId="0" xfId="0" applyNumberFormat="1" applyFont="1" applyAlignment="1" applyProtection="1">
      <alignment horizontal="center"/>
      <protection locked="0"/>
    </xf>
    <xf numFmtId="0" fontId="8" fillId="0" borderId="0" xfId="0" applyFont="1"/>
    <xf numFmtId="49" fontId="8" fillId="0" borderId="0" xfId="0" applyNumberFormat="1" applyFont="1" applyAlignment="1" applyProtection="1">
      <alignment horizontal="center" vertical="center"/>
      <protection locked="0"/>
    </xf>
    <xf numFmtId="0" fontId="8" fillId="0" borderId="0" xfId="0" applyFont="1" applyAlignment="1">
      <alignment vertical="center"/>
    </xf>
    <xf numFmtId="0" fontId="10" fillId="0" borderId="0" xfId="0" applyFont="1" applyAlignment="1">
      <alignment horizontal="left" vertical="center"/>
    </xf>
    <xf numFmtId="49" fontId="8" fillId="0" borderId="0" xfId="0" applyNumberFormat="1" applyFont="1" applyAlignment="1" applyProtection="1">
      <alignment vertical="center"/>
      <protection locked="0"/>
    </xf>
    <xf numFmtId="0" fontId="8" fillId="0" borderId="0" xfId="0" applyFont="1" applyAlignment="1" applyProtection="1">
      <alignment horizontal="center" vertical="center"/>
      <protection locked="0"/>
    </xf>
    <xf numFmtId="49" fontId="6" fillId="0" borderId="0" xfId="0" applyNumberFormat="1" applyFont="1" applyAlignment="1" applyProtection="1">
      <alignment horizontal="center" vertical="center"/>
      <protection locked="0"/>
    </xf>
    <xf numFmtId="0" fontId="0" fillId="0" borderId="0" xfId="0" applyAlignment="1">
      <alignment wrapText="1"/>
    </xf>
    <xf numFmtId="0" fontId="0" fillId="0" borderId="5" xfId="0" applyBorder="1"/>
    <xf numFmtId="49" fontId="0" fillId="0" borderId="3" xfId="0" applyNumberFormat="1" applyBorder="1" applyAlignment="1">
      <alignment horizontal="center" vertical="center"/>
    </xf>
    <xf numFmtId="49" fontId="8" fillId="0" borderId="0" xfId="0" applyNumberFormat="1" applyFont="1" applyAlignment="1" applyProtection="1">
      <alignment horizontal="left" vertical="center" wrapText="1"/>
      <protection locked="0"/>
    </xf>
    <xf numFmtId="49" fontId="0" fillId="13" borderId="0" xfId="0" applyNumberFormat="1" applyFill="1" applyAlignment="1">
      <alignment horizontal="center"/>
    </xf>
    <xf numFmtId="49" fontId="0" fillId="12" borderId="0" xfId="0" applyNumberFormat="1" applyFill="1" applyAlignment="1">
      <alignment horizontal="center" vertical="center" wrapText="1"/>
    </xf>
    <xf numFmtId="49" fontId="6" fillId="0" borderId="0" xfId="0" applyNumberFormat="1" applyFont="1" applyAlignment="1" applyProtection="1">
      <alignment vertical="center"/>
      <protection locked="0"/>
    </xf>
    <xf numFmtId="0" fontId="12" fillId="0" borderId="0" xfId="0" applyFont="1" applyAlignment="1">
      <alignment vertical="center"/>
    </xf>
    <xf numFmtId="49" fontId="0" fillId="0" borderId="0" xfId="0" applyNumberFormat="1" applyAlignment="1" applyProtection="1">
      <alignment horizontal="left" vertical="center"/>
      <protection locked="0"/>
    </xf>
    <xf numFmtId="49" fontId="1" fillId="0" borderId="0" xfId="0" applyNumberFormat="1" applyFont="1" applyAlignment="1" applyProtection="1">
      <alignment horizontal="left" vertical="center"/>
      <protection locked="0"/>
    </xf>
    <xf numFmtId="49" fontId="0" fillId="0" borderId="6" xfId="0" applyNumberFormat="1" applyBorder="1" applyAlignment="1">
      <alignment horizontal="left" vertical="center"/>
    </xf>
    <xf numFmtId="49" fontId="0" fillId="2" borderId="0" xfId="0" applyNumberFormat="1" applyFill="1" applyAlignment="1">
      <alignment horizontal="center" vertical="center"/>
    </xf>
    <xf numFmtId="49" fontId="1" fillId="0" borderId="3" xfId="0" applyNumberFormat="1" applyFont="1" applyBorder="1" applyAlignment="1">
      <alignment horizontal="center" vertical="center"/>
    </xf>
    <xf numFmtId="49" fontId="0" fillId="0" borderId="7" xfId="0" applyNumberFormat="1" applyBorder="1" applyAlignment="1">
      <alignment horizontal="center" vertical="center"/>
    </xf>
    <xf numFmtId="49" fontId="14" fillId="0" borderId="0" xfId="0" applyNumberFormat="1" applyFont="1" applyAlignment="1" applyProtection="1">
      <alignment horizontal="left" vertical="center" wrapText="1"/>
      <protection locked="0"/>
    </xf>
    <xf numFmtId="49" fontId="6" fillId="0" borderId="0" xfId="0" applyNumberFormat="1" applyFont="1" applyAlignment="1" applyProtection="1">
      <alignment horizontal="left" vertical="center" wrapText="1"/>
      <protection locked="0"/>
    </xf>
    <xf numFmtId="49" fontId="13" fillId="0" borderId="0" xfId="0" applyNumberFormat="1" applyFont="1" applyAlignment="1" applyProtection="1">
      <alignment vertical="center"/>
      <protection locked="0"/>
    </xf>
    <xf numFmtId="49" fontId="14" fillId="0" borderId="0" xfId="0" applyNumberFormat="1" applyFont="1" applyAlignment="1" applyProtection="1">
      <alignment vertical="center"/>
      <protection locked="0"/>
    </xf>
    <xf numFmtId="49" fontId="1" fillId="0" borderId="0" xfId="0" applyNumberFormat="1" applyFont="1" applyAlignment="1" applyProtection="1">
      <alignment vertical="center"/>
      <protection locked="0"/>
    </xf>
    <xf numFmtId="0" fontId="11" fillId="0" borderId="0" xfId="0" applyFont="1" applyAlignment="1">
      <alignment vertical="center"/>
    </xf>
    <xf numFmtId="49" fontId="14" fillId="0" borderId="0" xfId="0" applyNumberFormat="1" applyFont="1" applyAlignment="1" applyProtection="1">
      <alignment horizontal="center" vertical="center"/>
      <protection locked="0"/>
    </xf>
    <xf numFmtId="49" fontId="14" fillId="0" borderId="0" xfId="0" applyNumberFormat="1" applyFont="1" applyAlignment="1" applyProtection="1">
      <alignment horizontal="left" vertical="center"/>
      <protection locked="0"/>
    </xf>
    <xf numFmtId="14" fontId="0" fillId="0" borderId="0" xfId="0" applyNumberFormat="1" applyAlignment="1">
      <alignment horizontal="right" vertical="center"/>
    </xf>
    <xf numFmtId="0" fontId="0" fillId="9" borderId="0" xfId="0" applyFill="1"/>
    <xf numFmtId="0" fontId="0" fillId="9" borderId="0" xfId="0" applyFill="1" applyAlignment="1">
      <alignment wrapText="1"/>
    </xf>
    <xf numFmtId="0" fontId="0" fillId="9" borderId="0" xfId="0" applyFill="1" applyAlignment="1">
      <alignment horizontal="center" vertical="center" wrapText="1"/>
    </xf>
    <xf numFmtId="49" fontId="5" fillId="9" borderId="4" xfId="0" applyNumberFormat="1" applyFont="1" applyFill="1" applyBorder="1" applyAlignment="1">
      <alignment wrapText="1"/>
    </xf>
    <xf numFmtId="49" fontId="9" fillId="9" borderId="4" xfId="0" applyNumberFormat="1" applyFont="1" applyFill="1" applyBorder="1" applyAlignment="1">
      <alignment wrapText="1"/>
    </xf>
    <xf numFmtId="0" fontId="0" fillId="9" borderId="0" xfId="0" applyFill="1" applyAlignment="1" applyProtection="1">
      <alignment horizontal="center" vertical="center" wrapText="1"/>
      <protection locked="0"/>
    </xf>
    <xf numFmtId="49" fontId="8" fillId="0" borderId="0" xfId="0" applyNumberFormat="1" applyFont="1" applyAlignment="1" applyProtection="1">
      <alignment horizontal="center" vertical="center" wrapText="1"/>
      <protection locked="0"/>
    </xf>
    <xf numFmtId="49" fontId="0" fillId="0" borderId="0" xfId="0" applyNumberFormat="1" applyAlignment="1" applyProtection="1">
      <alignment horizontal="center" vertical="center" wrapText="1"/>
      <protection locked="0"/>
    </xf>
    <xf numFmtId="49" fontId="8" fillId="0" borderId="0" xfId="0" applyNumberFormat="1" applyFont="1" applyAlignment="1">
      <alignment horizontal="center" vertical="center" wrapText="1"/>
    </xf>
    <xf numFmtId="49" fontId="0" fillId="0" borderId="0" xfId="0" applyNumberFormat="1" applyAlignment="1">
      <alignment wrapText="1"/>
    </xf>
    <xf numFmtId="0" fontId="0" fillId="9" borderId="0" xfId="0" applyFill="1" applyAlignment="1">
      <alignment horizontal="center"/>
    </xf>
    <xf numFmtId="0" fontId="1" fillId="0" borderId="0" xfId="1" applyFont="1">
      <alignment vertical="center"/>
    </xf>
    <xf numFmtId="49" fontId="1" fillId="14" borderId="5" xfId="0" applyNumberFormat="1" applyFont="1" applyFill="1" applyBorder="1" applyAlignment="1">
      <alignment horizontal="left" vertical="center" wrapText="1"/>
    </xf>
    <xf numFmtId="49" fontId="0" fillId="14" borderId="3" xfId="0" applyNumberFormat="1" applyFill="1" applyBorder="1" applyAlignment="1">
      <alignment vertical="center"/>
    </xf>
    <xf numFmtId="49" fontId="1" fillId="14" borderId="3" xfId="0" applyNumberFormat="1" applyFont="1" applyFill="1" applyBorder="1" applyAlignment="1">
      <alignment horizontal="left" vertical="center"/>
    </xf>
    <xf numFmtId="49" fontId="0" fillId="14" borderId="3" xfId="0" applyNumberFormat="1" applyFill="1" applyBorder="1" applyAlignment="1">
      <alignment horizontal="center"/>
    </xf>
    <xf numFmtId="49" fontId="6" fillId="14" borderId="3" xfId="0" applyNumberFormat="1" applyFont="1" applyFill="1" applyBorder="1" applyAlignment="1">
      <alignment horizontal="center"/>
    </xf>
    <xf numFmtId="49" fontId="1" fillId="14" borderId="3" xfId="0" applyNumberFormat="1" applyFont="1" applyFill="1" applyBorder="1" applyAlignment="1">
      <alignment horizontal="center"/>
    </xf>
    <xf numFmtId="49" fontId="1" fillId="14" borderId="3" xfId="0" applyNumberFormat="1" applyFont="1" applyFill="1" applyBorder="1" applyAlignment="1">
      <alignment horizontal="center" vertical="center"/>
    </xf>
    <xf numFmtId="49" fontId="1" fillId="14" borderId="3" xfId="0" applyNumberFormat="1" applyFont="1" applyFill="1" applyBorder="1" applyAlignment="1">
      <alignment horizontal="center" vertical="center" wrapText="1"/>
    </xf>
    <xf numFmtId="49" fontId="0" fillId="14" borderId="3" xfId="0" applyNumberFormat="1" applyFill="1" applyBorder="1" applyAlignment="1">
      <alignment horizontal="center" vertical="center"/>
    </xf>
    <xf numFmtId="49" fontId="1" fillId="0" borderId="5" xfId="0" applyNumberFormat="1" applyFont="1" applyBorder="1" applyAlignment="1">
      <alignment horizontal="left" vertical="center" wrapText="1"/>
    </xf>
    <xf numFmtId="49" fontId="0" fillId="0" borderId="3" xfId="0" applyNumberFormat="1" applyBorder="1" applyAlignment="1">
      <alignment vertical="center"/>
    </xf>
    <xf numFmtId="49" fontId="1" fillId="0" borderId="3" xfId="0" applyNumberFormat="1" applyFont="1" applyBorder="1" applyAlignment="1">
      <alignment horizontal="left" vertical="center"/>
    </xf>
    <xf numFmtId="49" fontId="0" fillId="0" borderId="3" xfId="0" applyNumberFormat="1" applyBorder="1" applyAlignment="1">
      <alignment horizontal="center"/>
    </xf>
    <xf numFmtId="49" fontId="6" fillId="0" borderId="3" xfId="0" applyNumberFormat="1" applyFont="1" applyBorder="1" applyAlignment="1">
      <alignment horizontal="center"/>
    </xf>
    <xf numFmtId="49" fontId="1" fillId="0" borderId="3" xfId="0" applyNumberFormat="1" applyFont="1" applyBorder="1" applyAlignment="1">
      <alignment horizontal="center"/>
    </xf>
    <xf numFmtId="49" fontId="0" fillId="14" borderId="3" xfId="0" applyNumberFormat="1" applyFill="1" applyBorder="1"/>
    <xf numFmtId="49" fontId="0" fillId="14" borderId="3" xfId="0" applyNumberFormat="1" applyFill="1" applyBorder="1" applyAlignment="1">
      <alignment horizontal="left" vertical="center"/>
    </xf>
    <xf numFmtId="49" fontId="6" fillId="14" borderId="3" xfId="0" applyNumberFormat="1" applyFont="1" applyFill="1" applyBorder="1" applyAlignment="1">
      <alignment horizontal="center" vertical="center"/>
    </xf>
    <xf numFmtId="49" fontId="0" fillId="0" borderId="3" xfId="0" applyNumberFormat="1" applyBorder="1"/>
    <xf numFmtId="49" fontId="6" fillId="0" borderId="3" xfId="0" applyNumberFormat="1" applyFont="1" applyBorder="1" applyAlignment="1">
      <alignment horizontal="left" vertical="center"/>
    </xf>
    <xf numFmtId="49" fontId="6" fillId="0" borderId="3" xfId="0" applyNumberFormat="1" applyFont="1" applyBorder="1" applyAlignment="1">
      <alignment horizontal="center" vertical="center" wrapText="1"/>
    </xf>
    <xf numFmtId="49" fontId="6" fillId="0" borderId="3" xfId="0" applyNumberFormat="1" applyFont="1" applyBorder="1" applyAlignment="1">
      <alignment horizontal="center" vertical="center"/>
    </xf>
    <xf numFmtId="49" fontId="6" fillId="14" borderId="3" xfId="0" applyNumberFormat="1" applyFont="1" applyFill="1" applyBorder="1" applyAlignment="1">
      <alignment horizontal="left" vertical="center"/>
    </xf>
    <xf numFmtId="49" fontId="8" fillId="9" borderId="0" xfId="0" applyNumberFormat="1" applyFont="1" applyFill="1" applyAlignment="1" applyProtection="1">
      <alignment horizontal="center" vertical="center"/>
      <protection locked="0"/>
    </xf>
    <xf numFmtId="49" fontId="1" fillId="0" borderId="3" xfId="0" applyNumberFormat="1" applyFont="1" applyBorder="1" applyAlignment="1">
      <alignment horizontal="left" wrapText="1"/>
    </xf>
    <xf numFmtId="49" fontId="1" fillId="0" borderId="3" xfId="0" applyNumberFormat="1" applyFont="1" applyBorder="1" applyAlignment="1">
      <alignment wrapText="1"/>
    </xf>
    <xf numFmtId="49" fontId="0" fillId="0" borderId="3" xfId="0" applyNumberFormat="1" applyBorder="1" applyAlignment="1">
      <alignment horizontal="left" vertical="center"/>
    </xf>
    <xf numFmtId="49" fontId="6" fillId="0" borderId="3" xfId="0" applyNumberFormat="1" applyFont="1" applyBorder="1" applyAlignment="1">
      <alignment wrapText="1"/>
    </xf>
    <xf numFmtId="49" fontId="0" fillId="0" borderId="3" xfId="0" applyNumberFormat="1" applyBorder="1" applyAlignment="1">
      <alignment wrapText="1"/>
    </xf>
    <xf numFmtId="49" fontId="0" fillId="9" borderId="0" xfId="0" applyNumberFormat="1" applyFill="1" applyAlignment="1" applyProtection="1">
      <alignment horizontal="center" vertical="center" wrapText="1"/>
      <protection locked="0"/>
    </xf>
    <xf numFmtId="0" fontId="0" fillId="14" borderId="3" xfId="0" applyFill="1" applyBorder="1"/>
    <xf numFmtId="0" fontId="0" fillId="14" borderId="8" xfId="0" applyFill="1" applyBorder="1"/>
    <xf numFmtId="0" fontId="5" fillId="9" borderId="9" xfId="0" applyFont="1" applyFill="1" applyBorder="1"/>
    <xf numFmtId="0" fontId="5" fillId="15" borderId="7" xfId="0" applyFont="1" applyFill="1" applyBorder="1"/>
    <xf numFmtId="0" fontId="5" fillId="15" borderId="10" xfId="0" applyFont="1" applyFill="1" applyBorder="1"/>
    <xf numFmtId="0" fontId="0" fillId="14" borderId="9" xfId="0" applyFill="1" applyBorder="1"/>
    <xf numFmtId="0" fontId="0" fillId="14" borderId="7" xfId="0" applyFill="1" applyBorder="1"/>
    <xf numFmtId="0" fontId="0" fillId="14" borderId="10" xfId="0" applyFill="1" applyBorder="1"/>
    <xf numFmtId="0" fontId="0" fillId="0" borderId="9" xfId="0" applyBorder="1"/>
    <xf numFmtId="0" fontId="0" fillId="0" borderId="7" xfId="0" applyBorder="1"/>
    <xf numFmtId="0" fontId="0" fillId="0" borderId="10" xfId="0" applyBorder="1"/>
    <xf numFmtId="0" fontId="0" fillId="14" borderId="5" xfId="0" applyFill="1" applyBorder="1"/>
    <xf numFmtId="49" fontId="0" fillId="0" borderId="0" xfId="0" applyNumberFormat="1" applyProtection="1">
      <protection locked="0"/>
    </xf>
    <xf numFmtId="0" fontId="0" fillId="0" borderId="1" xfId="0" quotePrefix="1" applyBorder="1"/>
    <xf numFmtId="0" fontId="4" fillId="16" borderId="1" xfId="0" applyFont="1" applyFill="1" applyBorder="1" applyAlignment="1">
      <alignment horizontal="center"/>
    </xf>
    <xf numFmtId="0" fontId="1" fillId="0" borderId="3" xfId="0" applyFont="1" applyBorder="1" applyAlignment="1">
      <alignment horizontal="center"/>
    </xf>
    <xf numFmtId="49" fontId="15" fillId="0" borderId="13" xfId="0" applyNumberFormat="1" applyFont="1" applyBorder="1" applyAlignment="1" applyProtection="1">
      <alignment horizontal="center" vertical="center"/>
      <protection locked="0"/>
    </xf>
    <xf numFmtId="0" fontId="5" fillId="3" borderId="1" xfId="0" applyFont="1" applyFill="1" applyBorder="1" applyAlignment="1">
      <alignment horizontal="center"/>
    </xf>
    <xf numFmtId="0" fontId="0" fillId="0" borderId="11" xfId="0" applyBorder="1"/>
    <xf numFmtId="0" fontId="0" fillId="0" borderId="12" xfId="0" applyBorder="1"/>
    <xf numFmtId="49" fontId="0" fillId="8" borderId="0" xfId="0" applyNumberFormat="1" applyFill="1" applyAlignment="1">
      <alignment horizontal="center" vertical="center"/>
    </xf>
    <xf numFmtId="0" fontId="0" fillId="0" borderId="0" xfId="0"/>
    <xf numFmtId="49" fontId="0" fillId="6" borderId="0" xfId="0" applyNumberFormat="1" applyFill="1" applyAlignment="1">
      <alignment horizontal="center" vertical="center"/>
    </xf>
    <xf numFmtId="49" fontId="0" fillId="0" borderId="0" xfId="0" applyNumberFormat="1"/>
  </cellXfs>
  <cellStyles count="2">
    <cellStyle name="Normal" xfId="0" builtinId="0"/>
    <cellStyle name="標準 2" xfId="1" xr:uid="{00000000-0005-0000-0000-000001000000}"/>
  </cellStyles>
  <dxfs count="124">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general" vertical="bottom" wrapText="1"/>
      <border outline="0">
        <left/>
        <right/>
        <top style="thin">
          <color theme="4" tint="0.39997558519241921"/>
        </top>
        <bottom style="thin">
          <color theme="4" tint="0.39997558519241921"/>
        </bottom>
      </border>
      <protection locked="0" hidden="0"/>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bottom"/>
      <border outline="0">
        <left/>
        <right/>
        <top style="thin">
          <color theme="4" tint="0.39997558519241921"/>
        </top>
        <bottom style="thin">
          <color theme="4" tint="0.39997558519241921"/>
        </bottom>
      </border>
      <protection locked="0" hidden="0"/>
    </dxf>
    <dxf>
      <numFmt numFmtId="30" formatCode="@"/>
      <fill>
        <patternFill>
          <fgColor indexed="64"/>
          <bgColor auto="1"/>
        </patternFill>
      </fill>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border>
        <left/>
        <right/>
        <top style="thin">
          <color theme="4" tint="0.39997558519241921"/>
        </top>
        <bottom style="thin">
          <color theme="4" tint="0.39997558519241921"/>
        </bottom>
        <vertical/>
        <horizontal/>
      </border>
    </dxf>
    <dxf>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outline="0">
        <left/>
        <right/>
        <top style="thin">
          <color theme="4" tint="0.39997558519241921"/>
        </top>
        <bottom style="thin">
          <color theme="4" tint="0.39997558519241921"/>
        </bottom>
      </border>
      <protection locked="0" hidden="0"/>
    </dxf>
    <dxf>
      <numFmt numFmtId="0" formatCode="General"/>
      <fill>
        <patternFill>
          <fgColor indexed="64"/>
          <bgColor auto="1"/>
        </patternFill>
      </fill>
      <alignment horizontal="center" vertical="bottom"/>
      <border>
        <left/>
        <right/>
        <top style="thin">
          <color theme="4" tint="0.39997558519241921"/>
        </top>
        <bottom style="thin">
          <color theme="4" tint="0.39997558519241921"/>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2"/>
          <bgColor theme="4" tint="0.79998168889431442"/>
        </patternFill>
      </fill>
      <alignment horizontal="left" vertical="center" wrapText="1"/>
      <border>
        <left style="thin">
          <color theme="4" tint="0.39997558519241921"/>
        </left>
        <right/>
        <top style="thin">
          <color theme="4" tint="0.39997558519241921"/>
        </top>
        <bottom style="thin">
          <color theme="4" tint="0.39997558519241921"/>
        </bottom>
        <vertical/>
        <horizontal/>
      </bord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1"/>
        </top>
        <bottom style="thin">
          <color theme="6" tint="0.39997558519241921"/>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strike val="0"/>
        <condense val="0"/>
        <extend val="0"/>
        <outline val="0"/>
        <shadow val="0"/>
        <vertAlign val="baseline"/>
        <sz val="11"/>
        <color theme="1"/>
        <name val="ＭＳ Ｐゴシック"/>
        <family val="2"/>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79"/>
        </patternFill>
      </fill>
      <alignment horizontal="center" vertical="bottom"/>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strike val="0"/>
        <condense val="0"/>
        <extend val="0"/>
        <outline val="0"/>
        <shadow val="0"/>
        <vertAlign val="baseline"/>
        <sz val="11"/>
        <color theme="1"/>
        <name val="Calibri"/>
        <family val="2"/>
        <scheme val="minor"/>
      </font>
      <numFmt numFmtId="30" formatCode="@"/>
      <alignment horizontal="general" vertical="center"/>
      <protection locked="0" hidden="0"/>
    </dxf>
    <dxf>
      <numFmt numFmtId="30" formatCode="@"/>
      <alignment horizontal="left" vertical="center" wrapText="1"/>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テーブル1" displayName="テーブル1" ref="A1:B15" totalsRowShown="0">
  <autoFilter ref="A1:B15" xr:uid="{00000000-0009-0000-0100-000001000000}"/>
  <tableColumns count="2">
    <tableColumn id="1" xr3:uid="{00000000-0010-0000-0000-000001000000}" name="データパターン"/>
    <tableColumn id="2" xr3:uid="{00000000-0010-0000-0000-000002000000}" name="enum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テーブル47" displayName="テーブル47" ref="A1:C9" totalsRowShown="0">
  <autoFilter ref="A1:C9" xr:uid="{00000000-0009-0000-0100-000002000000}"/>
  <tableColumns count="3">
    <tableColumn id="1" xr3:uid="{00000000-0010-0000-0100-000001000000}" name="FK種類（日本語）"/>
    <tableColumn id="2" xr3:uid="{00000000-0010-0000-0100-000002000000}" name="FK種類"/>
    <tableColumn id="3" xr3:uid="{00000000-0010-0000-0100-000003000000}" name="方向"/>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テーブル5" displayName="テーブル5" ref="A3:D39" totalsRowShown="0" headerRowDxfId="84" dataDxfId="83">
  <autoFilter ref="A3:D39" xr:uid="{00000000-0009-0000-0100-000003000000}"/>
  <tableColumns count="4">
    <tableColumn id="1" xr3:uid="{00000000-0010-0000-0200-000001000000}" name="日付" dataDxfId="82"/>
    <tableColumn id="2" xr3:uid="{00000000-0010-0000-0200-000002000000}" name="バージョン" dataDxfId="81"/>
    <tableColumn id="3" xr3:uid="{00000000-0010-0000-0200-000003000000}" name="修正事項" dataDxfId="80"/>
    <tableColumn id="4" xr3:uid="{00000000-0010-0000-0200-000004000000}" name="修正者" dataDxfId="7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テーブル50" displayName="テーブル50" ref="A5:H28" totalsRowShown="0" dataDxfId="78">
  <autoFilter ref="A5:H28" xr:uid="{00000000-0009-0000-0100-000004000000}"/>
  <tableColumns count="8">
    <tableColumn id="1" xr3:uid="{00000000-0010-0000-0300-000001000000}" name="#" dataDxfId="77">
      <calculatedColumnFormula>ROW()-5</calculatedColumnFormula>
    </tableColumn>
    <tableColumn id="8" xr3:uid="{00000000-0010-0000-0300-000008000000}" name="分類" dataDxfId="76"/>
    <tableColumn id="2" xr3:uid="{00000000-0010-0000-0300-000002000000}" name="分類名" dataDxfId="75"/>
    <tableColumn id="3" xr3:uid="{00000000-0010-0000-0300-000003000000}" name="項目" dataDxfId="74"/>
    <tableColumn id="4" xr3:uid="{00000000-0010-0000-0300-000004000000}" name="説明" dataDxfId="73"/>
    <tableColumn id="9" xr3:uid="{00000000-0010-0000-0300-000009000000}" name="必須" dataDxfId="72"/>
    <tableColumn id="5" xr3:uid="{00000000-0010-0000-0300-000005000000}" name="値" dataDxfId="71"/>
    <tableColumn id="6" xr3:uid="{00000000-0010-0000-0300-000006000000}" name="備考" dataDxfId="7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テーブル2" displayName="テーブル2" ref="A7:S37" tableType="xml" totalsRowShown="0" headerRowDxfId="69" dataDxfId="68">
  <tableColumns count="19">
    <tableColumn id="1" xr3:uid="{00000000-0010-0000-0400-000001000000}" uniqueName="name" name="DataType名" dataDxfId="67">
      <xmlColumnPr mapId="191" xpath="/root/datatype/@name" xmlDataType="string"/>
    </tableColumn>
    <tableColumn id="3" xr3:uid="{00000000-0010-0000-0400-000003000000}" uniqueName="kata" name="型" dataDxfId="66">
      <xmlColumnPr mapId="191" xpath="/root/datatype/kata" xmlDataType="string"/>
    </tableColumn>
    <tableColumn id="4" xr3:uid="{00000000-0010-0000-0400-000004000000}" uniqueName="minLength" name="長さ最小" dataDxfId="65">
      <xmlColumnPr mapId="191" xpath="/root/datatype/minLength" xmlDataType="string"/>
    </tableColumn>
    <tableColumn id="11" xr3:uid="{00000000-0010-0000-0400-00000B000000}" uniqueName="maxLength" name="長さ最大" dataDxfId="64">
      <xmlColumnPr mapId="191" xpath="/root/datatype/maxLength" xmlDataType="string"/>
    </tableColumn>
    <tableColumn id="15" xr3:uid="{00000000-0010-0000-0400-00000F000000}" uniqueName="numScale" name="データパターン（日本語）" dataDxfId="63"/>
    <tableColumn id="24" xr3:uid="{00000000-0010-0000-0400-000018000000}" uniqueName="stringDataPtn" name="データパターン" dataDxfId="62">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xr3:uid="{00000000-0010-0000-0400-000012000000}" uniqueName="18" name="禁則文字チェック除外" dataDxfId="61"/>
    <tableColumn id="25" xr3:uid="{00000000-0010-0000-0400-000019000000}" uniqueName="stringRegEx" name="正規表現" dataDxfId="60">
      <xmlColumnPr mapId="191" xpath="/root/datatype/stringRegEx" xmlDataType="string"/>
    </tableColumn>
    <tableColumn id="9" xr3:uid="{00000000-0010-0000-0400-000009000000}" uniqueName="numMinVal" name="最小値" dataDxfId="59">
      <xmlColumnPr mapId="191" xpath="/root/datatype/numMinVal" xmlDataType="string"/>
    </tableColumn>
    <tableColumn id="10" xr3:uid="{00000000-0010-0000-0400-00000A000000}" uniqueName="numMaxVal" name="最大値" dataDxfId="58">
      <xmlColumnPr mapId="191" xpath="/root/datatype/numMaxVal" xmlDataType="string"/>
    </tableColumn>
    <tableColumn id="12" xr3:uid="{00000000-0010-0000-0400-00000C000000}" uniqueName="numDigitInteger" name="整数部桁数" dataDxfId="57">
      <xmlColumnPr mapId="191" xpath="/root/datatype/numDigitInteger" xmlDataType="string"/>
    </tableColumn>
    <tableColumn id="13" xr3:uid="{00000000-0010-0000-0400-00000D000000}" uniqueName="numDigitFraction" name="小数部桁数" dataDxfId="56">
      <xmlColumnPr mapId="191" xpath="/root/datatype/numDigitFraction" xmlDataType="string"/>
    </tableColumn>
    <tableColumn id="5" xr3:uid="{00000000-0010-0000-0400-000005000000}" uniqueName="enumCodeLength" name="コードの長さ" dataDxfId="55">
      <xmlColumnPr mapId="191" xpath="/root/datatype/enumCodeLength" xmlDataType="string"/>
    </tableColumn>
    <tableColumn id="14" xr3:uid="{00000000-0010-0000-0400-00000E000000}" uniqueName="notNeedsTimezone" name="timezoneなし" dataDxfId="54">
      <xmlColumnPr mapId="191" xpath="/root/datatype/notNeedsTimezone" xmlDataType="string"/>
    </tableColumn>
    <tableColumn id="16" xr3:uid="{00000000-0010-0000-0400-000010000000}" uniqueName="javadoc" name="備考" dataDxfId="53">
      <xmlColumnPr mapId="191" xpath="/root/datatype/javadoc" xmlDataType="string"/>
    </tableColumn>
    <tableColumn id="2" xr3:uid="{00000000-0010-0000-0400-000002000000}" uniqueName="2" name="パターン説明（デフォルト言語）" dataDxfId="52"/>
    <tableColumn id="19" xr3:uid="{00000000-0010-0000-0400-000013000000}" uniqueName="19" name="パターン説明（追加言語1）" dataDxfId="51"/>
    <tableColumn id="20" xr3:uid="{00000000-0010-0000-0400-000014000000}" uniqueName="20" name="パターン説明（追加言語2）" dataDxfId="50"/>
    <tableColumn id="21" xr3:uid="{00000000-0010-0000-0400-000015000000}" uniqueName="21" name="パターン説明（追加言語）" dataDxfId="4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テーブル4" displayName="テーブル4" ref="A6:I33" tableType="xml" totalsRowShown="0" headerRowDxfId="48" dataDxfId="47">
  <autoFilter ref="A6:I33" xr:uid="{00000000-0009-0000-0100-000006000000}"/>
  <tableColumns count="9">
    <tableColumn id="1" xr3:uid="{00000000-0010-0000-0500-000001000000}" uniqueName="dataTypeName" name="DataType名" dataDxfId="46">
      <xmlColumnPr mapId="132" xpath="/root/enum/dataTypeName" xmlDataType="string"/>
    </tableColumn>
    <tableColumn id="8" xr3:uid="{00000000-0010-0000-0500-000008000000}" uniqueName="8" name="code" dataDxfId="45"/>
    <tableColumn id="5" xr3:uid="{00000000-0010-0000-0500-000005000000}" uniqueName="varName" name="varName" dataDxfId="44">
      <xmlColumnPr mapId="132" xpath="/root/enum/varName" xmlDataType="string"/>
    </tableColumn>
    <tableColumn id="10" xr3:uid="{00000000-0010-0000-0500-00000A000000}" uniqueName="10" name="javaのみ" dataDxfId="43"/>
    <tableColumn id="12" xr3:uid="{00000000-0010-0000-0500-00000C000000}" uniqueName="javadoc-value" name="備考" dataDxfId="42">
      <xmlColumnPr mapId="132" xpath="/root/enum/javadoc-value" xmlDataType="string"/>
    </tableColumn>
    <tableColumn id="9" xr3:uid="{00000000-0010-0000-0500-000009000000}" uniqueName="9" name="表示名（デフォルト言語）" dataDxfId="41"/>
    <tableColumn id="4" xr3:uid="{00000000-0010-0000-0500-000004000000}" uniqueName="dispNameAddLang1" name="表示名（追加言語1）" dataDxfId="40">
      <xmlColumnPr mapId="132" xpath="/root/enum/dispNameAddLang1" xmlDataType="string"/>
    </tableColumn>
    <tableColumn id="6" xr3:uid="{00000000-0010-0000-0500-000006000000}" uniqueName="dispNameAddLang2" name="表示名（追加言語2）" dataDxfId="39">
      <xmlColumnPr mapId="132" xpath="/root/enum/dispNameAddLang2" xmlDataType="string"/>
    </tableColumn>
    <tableColumn id="7" xr3:uid="{00000000-0010-0000-0500-000007000000}" uniqueName="dispNameAddLang3" name="表示名（追加言語3）" dataDxfId="38">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テーブル7" displayName="テーブル7" ref="A5:AK119" tableType="xml" totalsRowShown="0" headerRowDxfId="123" dataDxfId="122">
  <autoFilter ref="A5:AK119" xr:uid="{00000000-0009-0000-0100-000007000000}"/>
  <tableColumns count="37">
    <tableColumn id="1" xr3:uid="{00000000-0010-0000-0600-000001000000}" uniqueName="table" name="テーブル名" dataDxfId="121">
      <xmlColumnPr mapId="161" xpath="/root/column/table" xmlDataType="string"/>
    </tableColumn>
    <tableColumn id="2" xr3:uid="{00000000-0010-0000-0600-000002000000}" uniqueName="name" name="カラム名" dataDxfId="120">
      <xmlColumnPr mapId="161" xpath="/root/column/@name" xmlDataType="string"/>
    </tableColumn>
    <tableColumn id="15" xr3:uid="{00000000-0010-0000-0600-00000F000000}" uniqueName="dataType" name="dataType" dataDxfId="119">
      <xmlColumnPr mapId="161" xpath="/root/column/dataType" xmlDataType="string"/>
    </tableColumn>
    <tableColumn id="16" xr3:uid="{00000000-0010-0000-0600-000010000000}" uniqueName="16" name="dataType存在確認" dataDxfId="118">
      <calculatedColumnFormula>IF(テーブル7[[#This Row],[dataType]]="","",IF(NOT(ISNA(VLOOKUP(テーブル7[[#This Row],[dataType]], dataType定義!A:A, 1,FALSE))), "○", "×"))</calculatedColumnFormula>
    </tableColumn>
    <tableColumn id="28" xr3:uid="{00000000-0010-0000-0600-00001C000000}" uniqueName="28" name="javaのみ" dataDxfId="117"/>
    <tableColumn id="6" xr3:uid="{00000000-0010-0000-0600-000006000000}" uniqueName="pk" name="Surrogate key " dataDxfId="116">
      <xmlColumnPr mapId="161" xpath="/root/column/pk" xmlDataType="string"/>
    </tableColumn>
    <tableColumn id="29" xr3:uid="{00000000-0010-0000-0600-00001D000000}" uniqueName="29" name="natural key (unique key)" dataDxfId="115"/>
    <tableColumn id="8" xr3:uid="{00000000-0010-0000-0600-000008000000}" uniqueName="nullable" name="nullable" dataDxfId="114">
      <xmlColumnPr mapId="161" xpath="/root/column/nullable" xmlDataType="string"/>
    </tableColumn>
    <tableColumn id="10" xr3:uid="{00000000-0010-0000-0600-00000A000000}" uniqueName="autoIncrement" name="自動採番" dataDxfId="113">
      <xmlColumnPr mapId="161" xpath="/root/column/autoIncrement" xmlDataType="string"/>
    </tableColumn>
    <tableColumn id="21" xr3:uid="{00000000-0010-0000-0600-000015000000}" uniqueName="forcedIncrement" name="強制採番" dataDxfId="112">
      <xmlColumnPr mapId="161" xpath="/root/column/forcedIncrement" xmlDataType="string"/>
    </tableColumn>
    <tableColumn id="11" xr3:uid="{00000000-0010-0000-0600-00000B000000}" uniqueName="autoUpdate" name="自動更新" dataDxfId="111">
      <xmlColumnPr mapId="161" xpath="/root/column/autoUpdate" xmlDataType="string"/>
    </tableColumn>
    <tableColumn id="20" xr3:uid="{00000000-0010-0000-0600-000014000000}" uniqueName="forcedUpdate" name="強制更新" dataDxfId="110">
      <xmlColumnPr mapId="161" xpath="/root/column/forcedUpdate" xmlDataType="string"/>
    </tableColumn>
    <tableColumn id="12" xr3:uid="{00000000-0010-0000-0600-00000C000000}" uniqueName="valueChangeMethod" name="グループ識別項目" dataDxfId="109">
      <xmlColumnPr mapId="161" xpath="/root/column/valueChangeMethod" xmlDataType="string"/>
    </tableColumn>
    <tableColumn id="18" xr3:uid="{00000000-0010-0000-0600-000012000000}" uniqueName="updatedValue" name="SPRING監査" dataDxfId="108">
      <xmlColumnPr mapId="161" xpath="/root/column/updatedValue" xmlDataType="string"/>
    </tableColumn>
    <tableColumn id="19" xr3:uid="{00000000-0010-0000-0600-000013000000}" uniqueName="optLock" name="関連：種類" dataDxfId="107">
      <xmlColumnPr mapId="161" xpath="/root/column/optLock" xmlDataType="string"/>
    </tableColumn>
    <tableColumn id="22" xr3:uid="{00000000-0010-0000-0600-000016000000}" uniqueName="22" name="関連：direction" dataDxfId="106"/>
    <tableColumn id="26" xr3:uid="{00000000-0010-0000-0600-00001A000000}" uniqueName="26" name="関連：参照元変数名" dataDxfId="105"/>
    <tableColumn id="31" xr3:uid="{00000000-0010-0000-0600-00001F000000}" uniqueName="31" name="関連：参照元オブジェクト変数名" dataDxfId="104"/>
    <tableColumn id="23" xr3:uid="{00000000-0010-0000-0600-000017000000}" uniqueName="23" name="関連：参照先テーブル" dataDxfId="103"/>
    <tableColumn id="24" xr3:uid="{00000000-0010-0000-0600-000018000000}" uniqueName="24" name="関連：参照先カラム" dataDxfId="102"/>
    <tableColumn id="27" xr3:uid="{00000000-0010-0000-0600-00001B000000}" uniqueName="27" name="関連：参照先変数名" dataDxfId="101"/>
    <tableColumn id="25" xr3:uid="{00000000-0010-0000-0600-000019000000}" uniqueName="25" name="関連：eager" dataDxfId="100"/>
    <tableColumn id="17" xr3:uid="{00000000-0010-0000-0600-000011000000}" uniqueName="index1" name="index1" dataDxfId="99">
      <xmlColumnPr mapId="161" xpath="/root/column/index1" xmlDataType="string"/>
    </tableColumn>
    <tableColumn id="14" xr3:uid="{00000000-0010-0000-0600-00000E000000}" uniqueName="index2" name="index2" dataDxfId="98">
      <xmlColumnPr mapId="161" xpath="/root/column/index2" xmlDataType="string"/>
    </tableColumn>
    <tableColumn id="13" xr3:uid="{00000000-0010-0000-0600-00000D000000}" uniqueName="index3" name="index3" dataDxfId="97">
      <xmlColumnPr mapId="161" xpath="/root/column/index3" xmlDataType="string"/>
    </tableColumn>
    <tableColumn id="34" xr3:uid="{00000000-0010-0000-0600-000022000000}" uniqueName="34" name="index4" dataDxfId="96"/>
    <tableColumn id="35" xr3:uid="{00000000-0010-0000-0600-000023000000}" uniqueName="35" name="index5" dataDxfId="95"/>
    <tableColumn id="36" xr3:uid="{00000000-0010-0000-0600-000024000000}" uniqueName="36" name="index6" dataDxfId="94"/>
    <tableColumn id="37" xr3:uid="{00000000-0010-0000-0600-000025000000}" uniqueName="37" name="index7" dataDxfId="93"/>
    <tableColumn id="38" xr3:uid="{00000000-0010-0000-0600-000026000000}" uniqueName="38" name="index8" dataDxfId="92"/>
    <tableColumn id="39" xr3:uid="{00000000-0010-0000-0600-000027000000}" uniqueName="39" name="index9" dataDxfId="91"/>
    <tableColumn id="40" xr3:uid="{00000000-0010-0000-0600-000028000000}" uniqueName="40" name="index10" dataDxfId="90"/>
    <tableColumn id="5" xr3:uid="{00000000-0010-0000-0600-000005000000}" uniqueName="dispNameAddLang1" name="備考" dataDxfId="89"/>
    <tableColumn id="9" xr3:uid="{00000000-0010-0000-0600-000009000000}" uniqueName="9" name="カラム表示名（デフォルト言語）" dataDxfId="88"/>
    <tableColumn id="3" xr3:uid="{00000000-0010-0000-0600-000003000000}" uniqueName="dispNameAddLang1" name="カラム表示名（追加言語1）" dataDxfId="87">
      <xmlColumnPr mapId="161" xpath="/root/column/dispNameAddLang1" xmlDataType="string"/>
    </tableColumn>
    <tableColumn id="4" xr3:uid="{00000000-0010-0000-0600-000004000000}" uniqueName="dispNameAddLang2" name="カラム表示名（追加言語2）" dataDxfId="86">
      <xmlColumnPr mapId="161" xpath="/root/column/dispNameAddLang2" xmlDataType="string"/>
    </tableColumn>
    <tableColumn id="7" xr3:uid="{00000000-0010-0000-0600-000007000000}" uniqueName="dispNameAddLang3" name="カラム表示名（追加言語3）" dataDxfId="85">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テーブル74" displayName="テーブル74" ref="A5:AK13" totalsRowShown="0" headerRowDxfId="37" dataDxfId="36">
  <autoFilter ref="A5:AK13" xr:uid="{00000000-0009-0000-0100-000008000000}"/>
  <tableColumns count="37">
    <tableColumn id="1" xr3:uid="{00000000-0010-0000-0700-000001000000}" name="テーブル名" dataDxfId="35"/>
    <tableColumn id="2" xr3:uid="{00000000-0010-0000-0700-000002000000}" name="カラム名" dataDxfId="34"/>
    <tableColumn id="15" xr3:uid="{00000000-0010-0000-0700-00000F000000}" name="dataType" dataDxfId="33"/>
    <tableColumn id="16" xr3:uid="{00000000-0010-0000-0700-000010000000}" name="dataType存在確認" dataDxfId="32">
      <calculatedColumnFormula>IF(C6="","",IF(テーブル74[[#This Row],[dataType]]="","",IF(NOT(ISNA(VLOOKUP(テーブル74[[#This Row],[dataType]], dataType定義!A:A, 1,FALSE))), "○", "×")))</calculatedColumnFormula>
    </tableColumn>
    <tableColumn id="28" xr3:uid="{00000000-0010-0000-0700-00001C000000}" name="javaのみ" dataDxfId="31"/>
    <tableColumn id="6" xr3:uid="{00000000-0010-0000-0700-000006000000}" name="Surrogate key " dataDxfId="30"/>
    <tableColumn id="9" xr3:uid="{00000000-0010-0000-0700-000009000000}" name="natural key (unique key)"/>
    <tableColumn id="8" xr3:uid="{00000000-0010-0000-0700-000008000000}" name="nullable" dataDxfId="29"/>
    <tableColumn id="10" xr3:uid="{00000000-0010-0000-0700-00000A000000}" name="自動採番" dataDxfId="28"/>
    <tableColumn id="21" xr3:uid="{00000000-0010-0000-0700-000015000000}" name="強制採番" dataDxfId="27"/>
    <tableColumn id="11" xr3:uid="{00000000-0010-0000-0700-00000B000000}" name="自動更新" dataDxfId="26"/>
    <tableColumn id="20" xr3:uid="{00000000-0010-0000-0700-000014000000}" name="強制更新" dataDxfId="25"/>
    <tableColumn id="12" xr3:uid="{00000000-0010-0000-0700-00000C000000}" name="グループ識別項目" dataDxfId="24"/>
    <tableColumn id="18" xr3:uid="{00000000-0010-0000-0700-000012000000}" name="SPRING監査" dataDxfId="23"/>
    <tableColumn id="19" xr3:uid="{00000000-0010-0000-0700-000013000000}" name="関連：種類" dataDxfId="22"/>
    <tableColumn id="22" xr3:uid="{00000000-0010-0000-0700-000016000000}" name="関連：direction" dataDxfId="21"/>
    <tableColumn id="26" xr3:uid="{00000000-0010-0000-0700-00001A000000}" name="関連：参照元変数名" dataDxfId="20"/>
    <tableColumn id="29" xr3:uid="{00000000-0010-0000-0700-00001D000000}" name="関連：参照元オブジェクト変数名" dataDxfId="19"/>
    <tableColumn id="23" xr3:uid="{00000000-0010-0000-0700-000017000000}" name="関連：参照先テーブル" dataDxfId="18"/>
    <tableColumn id="24" xr3:uid="{00000000-0010-0000-0700-000018000000}" name="関連：参照先カラム" dataDxfId="17"/>
    <tableColumn id="27" xr3:uid="{00000000-0010-0000-0700-00001B000000}" name="関連：参照先変数名" dataDxfId="16"/>
    <tableColumn id="25" xr3:uid="{00000000-0010-0000-0700-000019000000}" name="関連：eager" dataDxfId="15"/>
    <tableColumn id="17" xr3:uid="{00000000-0010-0000-0700-000011000000}" name="index1" dataDxfId="14"/>
    <tableColumn id="14" xr3:uid="{00000000-0010-0000-0700-00000E000000}" name="index2" dataDxfId="13"/>
    <tableColumn id="13" xr3:uid="{00000000-0010-0000-0700-00000D000000}" name="index3" dataDxfId="12"/>
    <tableColumn id="33" xr3:uid="{00000000-0010-0000-0700-000021000000}" name="index4" dataDxfId="11"/>
    <tableColumn id="34" xr3:uid="{00000000-0010-0000-0700-000022000000}" name="index5" dataDxfId="10"/>
    <tableColumn id="35" xr3:uid="{00000000-0010-0000-0700-000023000000}" name="index6" dataDxfId="9"/>
    <tableColumn id="36" xr3:uid="{00000000-0010-0000-0700-000024000000}" name="index7" dataDxfId="8"/>
    <tableColumn id="37" xr3:uid="{00000000-0010-0000-0700-000025000000}" name="index8" dataDxfId="7"/>
    <tableColumn id="38" xr3:uid="{00000000-0010-0000-0700-000026000000}" name="index9" dataDxfId="6"/>
    <tableColumn id="39" xr3:uid="{00000000-0010-0000-0700-000027000000}" name="index10" dataDxfId="5"/>
    <tableColumn id="5" xr3:uid="{00000000-0010-0000-0700-000005000000}" name="備考" dataDxfId="4"/>
    <tableColumn id="32" xr3:uid="{00000000-0010-0000-0700-000020000000}" name="カラム表示名（デフォルト言語）" dataDxfId="3"/>
    <tableColumn id="3" xr3:uid="{00000000-0010-0000-0700-000003000000}" name="カラム表示名（追加言語1）" dataDxfId="2"/>
    <tableColumn id="4" xr3:uid="{00000000-0010-0000-0700-000004000000}" name="カラム表示名（追加言語2）" dataDxfId="1"/>
    <tableColumn id="7" xr3:uid="{00000000-0010-0000-0700-000007000000}" name="カラム表示名（追加言語3）"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B26" sqref="B26"/>
    </sheetView>
  </sheetViews>
  <sheetFormatPr baseColWidth="10" defaultColWidth="8.83203125" defaultRowHeight="15"/>
  <cols>
    <col min="1" max="1" width="21.33203125" customWidth="1"/>
    <col min="2" max="2" width="12.83203125" bestFit="1" customWidth="1"/>
    <col min="3" max="3" width="30.1640625" customWidth="1"/>
  </cols>
  <sheetData>
    <row r="1" spans="1:3">
      <c r="A1" s="127" t="s">
        <v>42</v>
      </c>
      <c r="B1" s="128"/>
      <c r="C1" s="129"/>
    </row>
    <row r="2" spans="1:3">
      <c r="A2" s="124" t="s">
        <v>43</v>
      </c>
      <c r="B2" s="124" t="s">
        <v>44</v>
      </c>
      <c r="C2" s="124" t="s">
        <v>45</v>
      </c>
    </row>
    <row r="3" spans="1:3">
      <c r="A3" s="123" t="s">
        <v>46</v>
      </c>
      <c r="B3" s="18" t="s">
        <v>47</v>
      </c>
      <c r="C3" s="19" t="s">
        <v>48</v>
      </c>
    </row>
    <row r="4" spans="1:3">
      <c r="A4" s="123" t="s">
        <v>49</v>
      </c>
      <c r="B4" s="18" t="s">
        <v>50</v>
      </c>
      <c r="C4" s="19"/>
    </row>
    <row r="5" spans="1:3">
      <c r="A5" s="123" t="s">
        <v>51</v>
      </c>
      <c r="B5" s="18" t="s">
        <v>52</v>
      </c>
      <c r="C5" s="19"/>
    </row>
    <row r="6" spans="1:3">
      <c r="A6" s="123" t="s">
        <v>53</v>
      </c>
      <c r="B6" s="18" t="s">
        <v>54</v>
      </c>
      <c r="C6" s="19"/>
    </row>
    <row r="7" spans="1:3">
      <c r="A7" s="123" t="s">
        <v>55</v>
      </c>
      <c r="B7" s="18" t="s">
        <v>56</v>
      </c>
      <c r="C7" s="19"/>
    </row>
    <row r="8" spans="1:3">
      <c r="A8" s="123" t="s">
        <v>57</v>
      </c>
      <c r="B8" s="18" t="s">
        <v>58</v>
      </c>
      <c r="C8" s="19"/>
    </row>
    <row r="9" spans="1:3">
      <c r="A9" s="123" t="s">
        <v>59</v>
      </c>
      <c r="B9" s="18" t="s">
        <v>60</v>
      </c>
      <c r="C9" s="19"/>
    </row>
    <row r="10" spans="1:3">
      <c r="A10" s="123" t="s">
        <v>61</v>
      </c>
      <c r="B10" s="18" t="s">
        <v>62</v>
      </c>
      <c r="C10" s="19"/>
    </row>
    <row r="11" spans="1:3">
      <c r="A11" s="123" t="s">
        <v>63</v>
      </c>
      <c r="B11" s="18" t="s">
        <v>64</v>
      </c>
      <c r="C11" s="19"/>
    </row>
    <row r="12" spans="1:3">
      <c r="A12" s="123" t="s">
        <v>65</v>
      </c>
      <c r="B12" s="18" t="s">
        <v>66</v>
      </c>
      <c r="C12" s="19"/>
    </row>
    <row r="13" spans="1:3">
      <c r="A13" s="123" t="s">
        <v>67</v>
      </c>
      <c r="B13" s="18" t="s">
        <v>68</v>
      </c>
      <c r="C13" s="19"/>
    </row>
    <row r="14" spans="1:3">
      <c r="A14" s="123" t="s">
        <v>69</v>
      </c>
      <c r="B14" s="18" t="s">
        <v>70</v>
      </c>
      <c r="C14" s="19"/>
    </row>
    <row r="15" spans="1:3">
      <c r="A15" s="123" t="s">
        <v>71</v>
      </c>
      <c r="B15" s="18" t="s">
        <v>72</v>
      </c>
      <c r="C15" s="19"/>
    </row>
    <row r="16" spans="1:3">
      <c r="A16" s="123" t="s">
        <v>73</v>
      </c>
      <c r="B16" s="18" t="s">
        <v>74</v>
      </c>
      <c r="C16" s="19"/>
    </row>
    <row r="17" spans="1:3">
      <c r="A17" s="19"/>
      <c r="B17" s="18" t="s">
        <v>75</v>
      </c>
      <c r="C17" s="19"/>
    </row>
    <row r="18" spans="1:3">
      <c r="A18" s="19"/>
      <c r="B18" s="18"/>
      <c r="C18" s="19"/>
    </row>
    <row r="19" spans="1:3">
      <c r="B19" s="16"/>
    </row>
    <row r="20" spans="1:3">
      <c r="C20" t="s">
        <v>76</v>
      </c>
    </row>
  </sheetData>
  <mergeCells count="1">
    <mergeCell ref="A1:C1"/>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B26" sqref="B26"/>
    </sheetView>
  </sheetViews>
  <sheetFormatPr baseColWidth="10" defaultColWidth="8.83203125" defaultRowHeight="15"/>
  <cols>
    <col min="1" max="1" width="22" bestFit="1" customWidth="1"/>
    <col min="2" max="2" width="26" customWidth="1"/>
    <col min="3" max="3" width="19.1640625" bestFit="1" customWidth="1"/>
  </cols>
  <sheetData>
    <row r="1" spans="1:2">
      <c r="A1" t="s">
        <v>77</v>
      </c>
      <c r="B1" t="s">
        <v>78</v>
      </c>
    </row>
    <row r="2" spans="1:2">
      <c r="A2" t="s">
        <v>46</v>
      </c>
      <c r="B2" t="s">
        <v>79</v>
      </c>
    </row>
    <row r="3" spans="1:2">
      <c r="A3" t="s">
        <v>51</v>
      </c>
      <c r="B3" t="s">
        <v>80</v>
      </c>
    </row>
    <row r="4" spans="1:2">
      <c r="A4" t="s">
        <v>53</v>
      </c>
      <c r="B4" t="s">
        <v>81</v>
      </c>
    </row>
    <row r="5" spans="1:2">
      <c r="A5" t="s">
        <v>55</v>
      </c>
      <c r="B5" t="s">
        <v>82</v>
      </c>
    </row>
    <row r="6" spans="1:2">
      <c r="A6" t="s">
        <v>57</v>
      </c>
      <c r="B6" t="s">
        <v>83</v>
      </c>
    </row>
    <row r="7" spans="1:2">
      <c r="A7" t="s">
        <v>59</v>
      </c>
      <c r="B7" t="s">
        <v>84</v>
      </c>
    </row>
    <row r="8" spans="1:2">
      <c r="A8" t="s">
        <v>61</v>
      </c>
      <c r="B8" t="s">
        <v>85</v>
      </c>
    </row>
    <row r="9" spans="1:2">
      <c r="A9" t="s">
        <v>63</v>
      </c>
      <c r="B9" t="s">
        <v>86</v>
      </c>
    </row>
    <row r="10" spans="1:2">
      <c r="A10" t="s">
        <v>65</v>
      </c>
      <c r="B10" t="s">
        <v>87</v>
      </c>
    </row>
    <row r="11" spans="1:2">
      <c r="A11" t="s">
        <v>67</v>
      </c>
      <c r="B11" t="s">
        <v>88</v>
      </c>
    </row>
    <row r="12" spans="1:2">
      <c r="A12" t="s">
        <v>69</v>
      </c>
      <c r="B12" t="s">
        <v>89</v>
      </c>
    </row>
    <row r="13" spans="1:2">
      <c r="A13" t="s">
        <v>71</v>
      </c>
      <c r="B13" t="s">
        <v>90</v>
      </c>
    </row>
    <row r="14" spans="1:2">
      <c r="A14" t="s">
        <v>73</v>
      </c>
      <c r="B14" t="s">
        <v>91</v>
      </c>
    </row>
    <row r="15" spans="1:2">
      <c r="A15" t="s">
        <v>49</v>
      </c>
      <c r="B15" t="s">
        <v>92</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26" sqref="B26"/>
    </sheetView>
  </sheetViews>
  <sheetFormatPr baseColWidth="10" defaultColWidth="8.83203125" defaultRowHeight="15"/>
  <cols>
    <col min="1" max="1" width="25.1640625" bestFit="1" customWidth="1"/>
    <col min="2" max="2" width="12.1640625" customWidth="1"/>
    <col min="3" max="3" width="12.1640625" bestFit="1" customWidth="1"/>
  </cols>
  <sheetData>
    <row r="1" spans="1:3">
      <c r="A1" t="s">
        <v>93</v>
      </c>
      <c r="B1" t="s">
        <v>94</v>
      </c>
      <c r="C1" t="s">
        <v>95</v>
      </c>
    </row>
    <row r="2" spans="1:3">
      <c r="A2" t="s">
        <v>96</v>
      </c>
      <c r="B2" t="s">
        <v>97</v>
      </c>
      <c r="C2" t="s">
        <v>98</v>
      </c>
    </row>
    <row r="3" spans="1:3">
      <c r="A3" t="s">
        <v>99</v>
      </c>
      <c r="B3" t="s">
        <v>97</v>
      </c>
      <c r="C3" t="s">
        <v>100</v>
      </c>
    </row>
    <row r="4" spans="1:3">
      <c r="A4" t="s">
        <v>101</v>
      </c>
      <c r="B4" t="s">
        <v>102</v>
      </c>
      <c r="C4" t="s">
        <v>98</v>
      </c>
    </row>
    <row r="11" spans="1:3">
      <c r="A11" t="s">
        <v>103</v>
      </c>
    </row>
    <row r="12" spans="1:3">
      <c r="A12" t="s">
        <v>104</v>
      </c>
    </row>
    <row r="13" spans="1:3">
      <c r="A13" s="46" t="s">
        <v>105</v>
      </c>
    </row>
    <row r="14" spans="1:3">
      <c r="A14" t="s">
        <v>106</v>
      </c>
    </row>
    <row r="15" spans="1:3">
      <c r="A15" t="s">
        <v>107</v>
      </c>
    </row>
  </sheetData>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opLeftCell="A39" zoomScaleNormal="100" workbookViewId="0">
      <selection activeCell="C39" sqref="C39"/>
    </sheetView>
  </sheetViews>
  <sheetFormatPr baseColWidth="10" defaultColWidth="8.83203125" defaultRowHeight="15"/>
  <cols>
    <col min="1" max="1" width="11.6640625" customWidth="1"/>
    <col min="2" max="2" width="12.1640625" style="11" bestFit="1" customWidth="1"/>
    <col min="3" max="3" width="113.6640625" customWidth="1"/>
    <col min="4" max="4" width="9" style="10" customWidth="1"/>
  </cols>
  <sheetData>
    <row r="1" spans="1:4">
      <c r="A1" s="12" t="s">
        <v>108</v>
      </c>
    </row>
    <row r="3" spans="1:4">
      <c r="A3" s="78" t="s">
        <v>109</v>
      </c>
      <c r="B3" s="78" t="s">
        <v>110</v>
      </c>
      <c r="C3" s="78" t="s">
        <v>111</v>
      </c>
      <c r="D3" s="78" t="s">
        <v>112</v>
      </c>
    </row>
    <row r="4" spans="1:4">
      <c r="A4" s="13">
        <v>41456</v>
      </c>
      <c r="B4" s="14" t="s">
        <v>113</v>
      </c>
      <c r="C4" s="1" t="s">
        <v>114</v>
      </c>
      <c r="D4" s="4" t="s">
        <v>115</v>
      </c>
    </row>
    <row r="5" spans="1:4">
      <c r="A5" s="13">
        <v>41484</v>
      </c>
      <c r="B5" s="14" t="s">
        <v>116</v>
      </c>
      <c r="C5" s="1" t="s">
        <v>117</v>
      </c>
      <c r="D5" s="4" t="s">
        <v>115</v>
      </c>
    </row>
    <row r="6" spans="1:4">
      <c r="A6" s="13">
        <v>41486</v>
      </c>
      <c r="B6" s="14" t="s">
        <v>118</v>
      </c>
      <c r="C6" s="1" t="s">
        <v>119</v>
      </c>
      <c r="D6" s="4" t="s">
        <v>115</v>
      </c>
    </row>
    <row r="7" spans="1:4" ht="32" customHeight="1">
      <c r="A7" s="13">
        <v>41490</v>
      </c>
      <c r="B7" s="14" t="s">
        <v>120</v>
      </c>
      <c r="C7" s="15" t="s">
        <v>121</v>
      </c>
      <c r="D7" s="4" t="s">
        <v>115</v>
      </c>
    </row>
    <row r="8" spans="1:4">
      <c r="A8" s="13">
        <v>41506</v>
      </c>
      <c r="B8" s="14" t="s">
        <v>122</v>
      </c>
      <c r="C8" s="1" t="s">
        <v>123</v>
      </c>
      <c r="D8" s="4" t="s">
        <v>115</v>
      </c>
    </row>
    <row r="9" spans="1:4" ht="266.25" customHeight="1">
      <c r="A9" s="13">
        <v>41973</v>
      </c>
      <c r="B9" s="14" t="s">
        <v>124</v>
      </c>
      <c r="C9" s="15" t="s">
        <v>125</v>
      </c>
      <c r="D9" s="4" t="s">
        <v>115</v>
      </c>
    </row>
    <row r="10" spans="1:4" ht="32" customHeight="1">
      <c r="A10" s="13">
        <v>41993</v>
      </c>
      <c r="B10" s="14" t="s">
        <v>126</v>
      </c>
      <c r="C10" s="15" t="s">
        <v>127</v>
      </c>
      <c r="D10" s="4" t="s">
        <v>115</v>
      </c>
    </row>
    <row r="11" spans="1:4">
      <c r="A11" s="13">
        <v>41993</v>
      </c>
      <c r="B11" s="14" t="s">
        <v>128</v>
      </c>
      <c r="C11" s="1" t="s">
        <v>129</v>
      </c>
      <c r="D11" s="4" t="s">
        <v>115</v>
      </c>
    </row>
    <row r="12" spans="1:4" ht="48" customHeight="1">
      <c r="A12" s="13">
        <v>42096</v>
      </c>
      <c r="B12" s="14" t="s">
        <v>130</v>
      </c>
      <c r="C12" s="15" t="s">
        <v>131</v>
      </c>
      <c r="D12" s="4" t="s">
        <v>115</v>
      </c>
    </row>
    <row r="13" spans="1:4" ht="32" customHeight="1">
      <c r="A13" s="13">
        <v>42103</v>
      </c>
      <c r="B13" s="14" t="s">
        <v>132</v>
      </c>
      <c r="C13" s="15" t="s">
        <v>133</v>
      </c>
      <c r="D13" s="4" t="s">
        <v>115</v>
      </c>
    </row>
    <row r="14" spans="1:4" ht="32" customHeight="1">
      <c r="A14" s="13">
        <v>42121</v>
      </c>
      <c r="B14" s="14" t="s">
        <v>134</v>
      </c>
      <c r="C14" s="15" t="s">
        <v>135</v>
      </c>
      <c r="D14" s="4" t="s">
        <v>115</v>
      </c>
    </row>
    <row r="15" spans="1:4" ht="48" customHeight="1">
      <c r="A15" s="13">
        <v>42136</v>
      </c>
      <c r="B15" s="14" t="s">
        <v>136</v>
      </c>
      <c r="C15" s="15" t="s">
        <v>137</v>
      </c>
      <c r="D15" s="4" t="s">
        <v>115</v>
      </c>
    </row>
    <row r="16" spans="1:4" ht="80" customHeight="1">
      <c r="A16" s="13">
        <v>42463</v>
      </c>
      <c r="B16" s="14" t="s">
        <v>138</v>
      </c>
      <c r="C16" s="15" t="s">
        <v>139</v>
      </c>
      <c r="D16" s="4" t="s">
        <v>115</v>
      </c>
    </row>
    <row r="17" spans="1:4" ht="80" customHeight="1">
      <c r="A17" s="13">
        <v>43015</v>
      </c>
      <c r="B17" s="14" t="s">
        <v>140</v>
      </c>
      <c r="C17" s="15" t="s">
        <v>141</v>
      </c>
      <c r="D17" s="4" t="s">
        <v>115</v>
      </c>
    </row>
    <row r="18" spans="1:4" ht="32" customHeight="1">
      <c r="A18" s="13">
        <v>43029</v>
      </c>
      <c r="B18" s="14" t="s">
        <v>142</v>
      </c>
      <c r="C18" s="15" t="s">
        <v>143</v>
      </c>
      <c r="D18" s="4" t="s">
        <v>115</v>
      </c>
    </row>
    <row r="19" spans="1:4" ht="80" customHeight="1">
      <c r="A19" s="13">
        <v>43060</v>
      </c>
      <c r="B19" s="14" t="s">
        <v>144</v>
      </c>
      <c r="C19" s="15" t="s">
        <v>145</v>
      </c>
      <c r="D19" s="4" t="s">
        <v>115</v>
      </c>
    </row>
    <row r="20" spans="1:4" ht="48" customHeight="1">
      <c r="A20" s="13">
        <v>43182</v>
      </c>
      <c r="B20" s="14" t="s">
        <v>146</v>
      </c>
      <c r="C20" s="15" t="s">
        <v>147</v>
      </c>
      <c r="D20" s="4" t="s">
        <v>115</v>
      </c>
    </row>
    <row r="21" spans="1:4" ht="96" customHeight="1">
      <c r="A21" s="13">
        <v>43856</v>
      </c>
      <c r="B21" s="14" t="s">
        <v>148</v>
      </c>
      <c r="C21" s="15" t="s">
        <v>149</v>
      </c>
      <c r="D21" s="4" t="s">
        <v>115</v>
      </c>
    </row>
    <row r="22" spans="1:4" ht="32" customHeight="1">
      <c r="A22" s="13">
        <v>44962</v>
      </c>
      <c r="B22" s="14" t="s">
        <v>150</v>
      </c>
      <c r="C22" s="15" t="s">
        <v>151</v>
      </c>
      <c r="D22" s="4" t="s">
        <v>115</v>
      </c>
    </row>
    <row r="23" spans="1:4" ht="112" customHeight="1">
      <c r="A23" s="13">
        <v>44962</v>
      </c>
      <c r="B23" s="14" t="s">
        <v>152</v>
      </c>
      <c r="C23" s="15" t="s">
        <v>153</v>
      </c>
      <c r="D23" s="4" t="s">
        <v>115</v>
      </c>
    </row>
    <row r="24" spans="1:4" ht="16" customHeight="1">
      <c r="A24" s="13">
        <v>45017</v>
      </c>
      <c r="B24" s="14" t="s">
        <v>154</v>
      </c>
      <c r="C24" s="15" t="s">
        <v>155</v>
      </c>
      <c r="D24" s="4" t="s">
        <v>115</v>
      </c>
    </row>
    <row r="25" spans="1:4" ht="176" customHeight="1">
      <c r="A25" s="13">
        <v>45050</v>
      </c>
      <c r="B25" s="14" t="s">
        <v>156</v>
      </c>
      <c r="C25" s="15" t="s">
        <v>157</v>
      </c>
      <c r="D25" s="4" t="s">
        <v>115</v>
      </c>
    </row>
    <row r="26" spans="1:4" ht="32" customHeight="1">
      <c r="A26" s="13">
        <v>45122</v>
      </c>
      <c r="B26" s="14" t="s">
        <v>158</v>
      </c>
      <c r="C26" s="15" t="s">
        <v>159</v>
      </c>
      <c r="D26" s="4" t="s">
        <v>115</v>
      </c>
    </row>
    <row r="27" spans="1:4" ht="160" customHeight="1">
      <c r="A27" s="13">
        <v>45134</v>
      </c>
      <c r="B27" s="14" t="s">
        <v>160</v>
      </c>
      <c r="C27" s="15" t="s">
        <v>161</v>
      </c>
      <c r="D27" s="4" t="s">
        <v>115</v>
      </c>
    </row>
    <row r="28" spans="1:4" ht="64" customHeight="1">
      <c r="A28" s="13">
        <v>45136</v>
      </c>
      <c r="B28" s="14" t="s">
        <v>162</v>
      </c>
      <c r="C28" s="15" t="s">
        <v>163</v>
      </c>
      <c r="D28" s="4" t="s">
        <v>115</v>
      </c>
    </row>
    <row r="29" spans="1:4" ht="160" customHeight="1">
      <c r="A29" s="13">
        <v>45144</v>
      </c>
      <c r="B29" s="14" t="s">
        <v>164</v>
      </c>
      <c r="C29" s="15" t="s">
        <v>165</v>
      </c>
      <c r="D29" s="4" t="s">
        <v>115</v>
      </c>
    </row>
    <row r="30" spans="1:4" ht="112" customHeight="1">
      <c r="A30" s="13">
        <v>45360</v>
      </c>
      <c r="B30" s="14" t="s">
        <v>166</v>
      </c>
      <c r="C30" s="15" t="s">
        <v>167</v>
      </c>
      <c r="D30" s="4" t="s">
        <v>115</v>
      </c>
    </row>
    <row r="31" spans="1:4" ht="112" customHeight="1">
      <c r="A31" s="13">
        <v>45444</v>
      </c>
      <c r="B31" s="14" t="s">
        <v>168</v>
      </c>
      <c r="C31" s="15" t="s">
        <v>169</v>
      </c>
      <c r="D31" s="4" t="s">
        <v>115</v>
      </c>
    </row>
    <row r="32" spans="1:4" ht="112" customHeight="1">
      <c r="A32" s="13">
        <v>45602</v>
      </c>
      <c r="B32" s="14" t="s">
        <v>170</v>
      </c>
      <c r="C32" s="15" t="s">
        <v>171</v>
      </c>
      <c r="D32" s="4" t="s">
        <v>115</v>
      </c>
    </row>
    <row r="33" spans="1:4" ht="192" customHeight="1">
      <c r="A33" s="13">
        <v>45707</v>
      </c>
      <c r="B33" s="14" t="s">
        <v>172</v>
      </c>
      <c r="C33" s="15" t="s">
        <v>173</v>
      </c>
      <c r="D33" s="4" t="s">
        <v>115</v>
      </c>
    </row>
    <row r="34" spans="1:4" ht="240" customHeight="1">
      <c r="A34" s="13">
        <v>45730</v>
      </c>
      <c r="B34" s="14" t="s">
        <v>174</v>
      </c>
      <c r="C34" s="15" t="s">
        <v>175</v>
      </c>
      <c r="D34" s="4" t="s">
        <v>115</v>
      </c>
    </row>
    <row r="35" spans="1:4">
      <c r="A35" s="13">
        <v>45809</v>
      </c>
      <c r="B35" s="14" t="s">
        <v>176</v>
      </c>
      <c r="C35" s="1" t="s">
        <v>177</v>
      </c>
      <c r="D35" s="4" t="s">
        <v>115</v>
      </c>
    </row>
    <row r="36" spans="1:4" ht="112" customHeight="1">
      <c r="A36" s="67">
        <v>46124</v>
      </c>
      <c r="B36" s="14" t="s">
        <v>178</v>
      </c>
      <c r="C36" s="15" t="s">
        <v>179</v>
      </c>
      <c r="D36" s="4" t="s">
        <v>115</v>
      </c>
    </row>
    <row r="37" spans="1:4" ht="409" customHeight="1">
      <c r="A37" s="13">
        <v>46192</v>
      </c>
      <c r="B37" s="14" t="s">
        <v>180</v>
      </c>
      <c r="C37" s="15" t="s">
        <v>181</v>
      </c>
      <c r="D37" s="4" t="s">
        <v>115</v>
      </c>
    </row>
    <row r="38" spans="1:4" ht="224" customHeight="1">
      <c r="A38" s="1" t="s">
        <v>182</v>
      </c>
      <c r="B38" s="14" t="s">
        <v>182</v>
      </c>
      <c r="C38" s="15" t="s">
        <v>183</v>
      </c>
      <c r="D38" s="14" t="s">
        <v>182</v>
      </c>
    </row>
    <row r="39" spans="1:4" ht="208" customHeight="1">
      <c r="A39" s="13">
        <v>46196</v>
      </c>
      <c r="B39" s="14" t="s">
        <v>184</v>
      </c>
      <c r="C39" s="15" t="s">
        <v>185</v>
      </c>
      <c r="D39" s="4" t="s">
        <v>115</v>
      </c>
    </row>
  </sheetData>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8"/>
  <sheetViews>
    <sheetView tabSelected="1" zoomScale="113" zoomScaleNormal="110" workbookViewId="0">
      <pane ySplit="5" topLeftCell="A6" activePane="bottomLeft" state="frozen"/>
      <selection pane="bottomLeft"/>
    </sheetView>
  </sheetViews>
  <sheetFormatPr baseColWidth="10" defaultColWidth="11" defaultRowHeight="15"/>
  <cols>
    <col min="1" max="1" width="4.5" bestFit="1" customWidth="1"/>
    <col min="2" max="2" width="19.33203125" hidden="1" customWidth="1"/>
    <col min="3" max="3" width="16" style="45" customWidth="1"/>
    <col min="4" max="4" width="27.6640625" hidden="1" customWidth="1"/>
    <col min="5" max="5" width="64.33203125" customWidth="1"/>
    <col min="6" max="6" width="7.33203125" bestFit="1" customWidth="1"/>
    <col min="7" max="7" width="30.1640625" bestFit="1" customWidth="1"/>
    <col min="8" max="8" width="48.33203125" customWidth="1"/>
  </cols>
  <sheetData>
    <row r="1" spans="1:8">
      <c r="A1" s="29" t="s">
        <v>186</v>
      </c>
    </row>
    <row r="3" spans="1:8">
      <c r="A3" t="s">
        <v>187</v>
      </c>
    </row>
    <row r="5" spans="1:8" ht="16" customHeight="1">
      <c r="A5" s="68" t="s">
        <v>188</v>
      </c>
      <c r="B5" s="68" t="s">
        <v>189</v>
      </c>
      <c r="C5" s="69" t="s">
        <v>190</v>
      </c>
      <c r="D5" s="68" t="s">
        <v>191</v>
      </c>
      <c r="E5" s="68" t="s">
        <v>192</v>
      </c>
      <c r="F5" s="68" t="s">
        <v>193</v>
      </c>
      <c r="G5" t="s">
        <v>194</v>
      </c>
      <c r="H5" t="s">
        <v>37</v>
      </c>
    </row>
    <row r="6" spans="1:8" ht="16" customHeight="1">
      <c r="A6" s="1">
        <f t="shared" ref="A6:A28" si="0">ROW()-5</f>
        <v>1</v>
      </c>
      <c r="B6" s="1" t="s">
        <v>195</v>
      </c>
      <c r="C6" s="15" t="s">
        <v>196</v>
      </c>
      <c r="D6" s="1" t="s">
        <v>197</v>
      </c>
      <c r="E6" s="15" t="s">
        <v>198</v>
      </c>
      <c r="F6" s="27" t="s">
        <v>199</v>
      </c>
      <c r="G6" s="1" t="s">
        <v>200</v>
      </c>
      <c r="H6" s="1"/>
    </row>
    <row r="7" spans="1:8" ht="32" customHeight="1">
      <c r="A7" s="1">
        <f t="shared" si="0"/>
        <v>2</v>
      </c>
      <c r="B7" s="1" t="s">
        <v>195</v>
      </c>
      <c r="C7" s="15" t="s">
        <v>196</v>
      </c>
      <c r="D7" s="1" t="s">
        <v>201</v>
      </c>
      <c r="E7" s="15" t="s">
        <v>202</v>
      </c>
      <c r="F7" s="27" t="s">
        <v>199</v>
      </c>
      <c r="G7" s="1"/>
      <c r="H7" s="1"/>
    </row>
    <row r="8" spans="1:8" ht="16" customHeight="1">
      <c r="A8" s="1">
        <f t="shared" si="0"/>
        <v>3</v>
      </c>
      <c r="B8" s="1" t="s">
        <v>195</v>
      </c>
      <c r="C8" s="15" t="s">
        <v>196</v>
      </c>
      <c r="D8" s="1" t="s">
        <v>203</v>
      </c>
      <c r="E8" s="1" t="s">
        <v>204</v>
      </c>
      <c r="F8" s="27" t="s">
        <v>199</v>
      </c>
      <c r="G8" s="1"/>
      <c r="H8" s="1"/>
    </row>
    <row r="9" spans="1:8" ht="32" customHeight="1">
      <c r="A9" s="1">
        <f t="shared" si="0"/>
        <v>4</v>
      </c>
      <c r="B9" s="1" t="s">
        <v>195</v>
      </c>
      <c r="C9" s="15" t="s">
        <v>196</v>
      </c>
      <c r="D9" s="1" t="s">
        <v>45</v>
      </c>
      <c r="E9" s="15" t="s">
        <v>205</v>
      </c>
      <c r="F9" s="27" t="s">
        <v>199</v>
      </c>
      <c r="G9" s="1"/>
      <c r="H9" s="1"/>
    </row>
    <row r="10" spans="1:8" ht="16" customHeight="1">
      <c r="A10" s="1">
        <f t="shared" si="0"/>
        <v>5</v>
      </c>
      <c r="B10" s="1" t="s">
        <v>195</v>
      </c>
      <c r="C10" s="15" t="s">
        <v>196</v>
      </c>
      <c r="D10" s="1" t="s">
        <v>206</v>
      </c>
      <c r="E10" s="1" t="s">
        <v>207</v>
      </c>
      <c r="F10" s="27" t="s">
        <v>199</v>
      </c>
      <c r="G10" s="1"/>
      <c r="H10" s="1"/>
    </row>
    <row r="11" spans="1:8" ht="32" customHeight="1">
      <c r="A11" s="1">
        <f t="shared" si="0"/>
        <v>6</v>
      </c>
      <c r="B11" s="1" t="s">
        <v>195</v>
      </c>
      <c r="C11" s="15" t="s">
        <v>196</v>
      </c>
      <c r="D11" s="1" t="s">
        <v>208</v>
      </c>
      <c r="E11" s="15" t="s">
        <v>209</v>
      </c>
      <c r="F11" s="27" t="s">
        <v>199</v>
      </c>
      <c r="G11" s="1"/>
      <c r="H11" s="1"/>
    </row>
    <row r="12" spans="1:8" ht="48" customHeight="1">
      <c r="A12" s="1">
        <f t="shared" si="0"/>
        <v>7</v>
      </c>
      <c r="B12" s="1" t="s">
        <v>195</v>
      </c>
      <c r="C12" s="15" t="s">
        <v>196</v>
      </c>
      <c r="D12" s="1" t="s">
        <v>210</v>
      </c>
      <c r="E12" s="15" t="s">
        <v>211</v>
      </c>
      <c r="F12" s="27"/>
      <c r="G12" s="1"/>
      <c r="H12" s="1"/>
    </row>
    <row r="13" spans="1:8" ht="16" customHeight="1">
      <c r="A13" s="1">
        <f t="shared" si="0"/>
        <v>8</v>
      </c>
      <c r="B13" s="1" t="s">
        <v>195</v>
      </c>
      <c r="C13" s="15" t="s">
        <v>196</v>
      </c>
      <c r="D13" s="1" t="s">
        <v>212</v>
      </c>
      <c r="E13" s="1" t="s">
        <v>213</v>
      </c>
      <c r="F13" s="4"/>
      <c r="G13" s="1"/>
      <c r="H13" s="1"/>
    </row>
    <row r="14" spans="1:8" ht="16" customHeight="1">
      <c r="A14" s="1">
        <f t="shared" si="0"/>
        <v>9</v>
      </c>
      <c r="B14" s="1" t="s">
        <v>195</v>
      </c>
      <c r="C14" s="15" t="s">
        <v>196</v>
      </c>
      <c r="D14" s="1" t="s">
        <v>214</v>
      </c>
      <c r="E14" s="1" t="s">
        <v>215</v>
      </c>
      <c r="F14" s="4"/>
      <c r="G14" s="1"/>
      <c r="H14" s="1"/>
    </row>
    <row r="15" spans="1:8" ht="16" customHeight="1">
      <c r="A15" s="1">
        <f t="shared" si="0"/>
        <v>10</v>
      </c>
      <c r="B15" s="1" t="s">
        <v>195</v>
      </c>
      <c r="C15" s="15" t="s">
        <v>196</v>
      </c>
      <c r="D15" s="1" t="s">
        <v>216</v>
      </c>
      <c r="E15" s="1" t="s">
        <v>217</v>
      </c>
      <c r="F15" s="4"/>
      <c r="G15" s="1"/>
      <c r="H15" s="1"/>
    </row>
    <row r="16" spans="1:8" ht="32" customHeight="1">
      <c r="A16" s="1">
        <f t="shared" si="0"/>
        <v>11</v>
      </c>
      <c r="B16" s="1" t="s">
        <v>195</v>
      </c>
      <c r="C16" s="15" t="s">
        <v>196</v>
      </c>
      <c r="D16" s="1" t="s">
        <v>218</v>
      </c>
      <c r="E16" s="15" t="s">
        <v>219</v>
      </c>
      <c r="F16" s="4"/>
      <c r="G16" s="1"/>
      <c r="H16" s="1"/>
    </row>
    <row r="17" spans="1:8" ht="48" customHeight="1">
      <c r="A17" s="1">
        <f t="shared" si="0"/>
        <v>12</v>
      </c>
      <c r="B17" s="1" t="s">
        <v>195</v>
      </c>
      <c r="C17" s="15" t="s">
        <v>196</v>
      </c>
      <c r="D17" s="1" t="s">
        <v>220</v>
      </c>
      <c r="E17" s="15" t="s">
        <v>221</v>
      </c>
      <c r="F17" s="4"/>
      <c r="G17" s="1"/>
      <c r="H17" s="1"/>
    </row>
    <row r="18" spans="1:8" ht="48" customHeight="1">
      <c r="A18" s="1">
        <f t="shared" si="0"/>
        <v>13</v>
      </c>
      <c r="B18" s="1" t="s">
        <v>195</v>
      </c>
      <c r="C18" s="15" t="s">
        <v>196</v>
      </c>
      <c r="D18" s="1" t="s">
        <v>222</v>
      </c>
      <c r="E18" s="15" t="s">
        <v>223</v>
      </c>
      <c r="F18" s="4"/>
      <c r="G18" s="1"/>
      <c r="H18" s="1"/>
    </row>
    <row r="19" spans="1:8" ht="48" customHeight="1">
      <c r="A19" s="1">
        <f t="shared" si="0"/>
        <v>14</v>
      </c>
      <c r="B19" s="1" t="s">
        <v>195</v>
      </c>
      <c r="C19" s="15" t="s">
        <v>196</v>
      </c>
      <c r="D19" s="1" t="s">
        <v>224</v>
      </c>
      <c r="E19" s="15" t="s">
        <v>225</v>
      </c>
      <c r="F19" s="4"/>
      <c r="G19" s="1"/>
      <c r="H19" s="1"/>
    </row>
    <row r="20" spans="1:8" ht="112" customHeight="1">
      <c r="A20" s="1">
        <f t="shared" si="0"/>
        <v>15</v>
      </c>
      <c r="B20" s="1" t="s">
        <v>226</v>
      </c>
      <c r="C20" s="15" t="s">
        <v>227</v>
      </c>
      <c r="D20" s="1" t="s">
        <v>228</v>
      </c>
      <c r="E20" s="15" t="s">
        <v>229</v>
      </c>
      <c r="F20" s="27"/>
      <c r="G20" s="2"/>
      <c r="H20" s="15"/>
    </row>
    <row r="21" spans="1:8" ht="32" customHeight="1">
      <c r="A21" s="1">
        <f t="shared" si="0"/>
        <v>16</v>
      </c>
      <c r="B21" s="1" t="s">
        <v>226</v>
      </c>
      <c r="C21" s="15" t="s">
        <v>227</v>
      </c>
      <c r="D21" s="1" t="s">
        <v>230</v>
      </c>
      <c r="E21" s="15" t="s">
        <v>231</v>
      </c>
      <c r="F21" s="4"/>
      <c r="G21" s="2"/>
      <c r="H21" s="15"/>
    </row>
    <row r="22" spans="1:8" ht="32" customHeight="1">
      <c r="A22" s="1">
        <f t="shared" si="0"/>
        <v>17</v>
      </c>
      <c r="B22" s="1" t="s">
        <v>226</v>
      </c>
      <c r="C22" s="15" t="s">
        <v>227</v>
      </c>
      <c r="D22" s="1" t="s">
        <v>232</v>
      </c>
      <c r="E22" s="15" t="s">
        <v>233</v>
      </c>
      <c r="F22" s="27"/>
      <c r="G22" s="2"/>
      <c r="H22" s="15"/>
    </row>
    <row r="23" spans="1:8" ht="32" customHeight="1">
      <c r="A23" s="1">
        <f t="shared" si="0"/>
        <v>18</v>
      </c>
      <c r="B23" s="1" t="s">
        <v>226</v>
      </c>
      <c r="C23" s="15" t="s">
        <v>227</v>
      </c>
      <c r="D23" s="1" t="s">
        <v>234</v>
      </c>
      <c r="E23" s="15" t="s">
        <v>235</v>
      </c>
      <c r="F23" s="27"/>
      <c r="G23" s="2"/>
      <c r="H23" s="15"/>
    </row>
    <row r="24" spans="1:8" ht="160" customHeight="1">
      <c r="A24" s="1">
        <f t="shared" si="0"/>
        <v>19</v>
      </c>
      <c r="B24" s="1" t="s">
        <v>236</v>
      </c>
      <c r="C24" s="15" t="s">
        <v>237</v>
      </c>
      <c r="D24" s="1" t="s">
        <v>228</v>
      </c>
      <c r="E24" s="15" t="s">
        <v>238</v>
      </c>
      <c r="F24" s="27"/>
      <c r="G24" s="1"/>
      <c r="H24" s="1"/>
    </row>
    <row r="25" spans="1:8" ht="32" customHeight="1">
      <c r="A25" s="1">
        <f t="shared" si="0"/>
        <v>20</v>
      </c>
      <c r="B25" s="1" t="s">
        <v>236</v>
      </c>
      <c r="C25" s="15" t="s">
        <v>237</v>
      </c>
      <c r="D25" s="1" t="s">
        <v>230</v>
      </c>
      <c r="E25" s="1" t="s">
        <v>239</v>
      </c>
      <c r="F25" s="4"/>
      <c r="G25" s="1"/>
      <c r="H25" s="1"/>
    </row>
    <row r="26" spans="1:8" ht="32" customHeight="1">
      <c r="A26" s="1">
        <f t="shared" si="0"/>
        <v>21</v>
      </c>
      <c r="B26" s="1" t="s">
        <v>236</v>
      </c>
      <c r="C26" s="15" t="s">
        <v>237</v>
      </c>
      <c r="D26" s="1" t="s">
        <v>240</v>
      </c>
      <c r="E26" s="15" t="s">
        <v>241</v>
      </c>
      <c r="F26" s="27"/>
      <c r="G26" s="1"/>
      <c r="H26" s="1"/>
    </row>
    <row r="27" spans="1:8" ht="80" customHeight="1">
      <c r="A27" s="1">
        <f t="shared" si="0"/>
        <v>22</v>
      </c>
      <c r="B27" s="1" t="s">
        <v>242</v>
      </c>
      <c r="C27" s="15" t="s">
        <v>243</v>
      </c>
      <c r="D27" s="1" t="s">
        <v>228</v>
      </c>
      <c r="E27" s="15" t="s">
        <v>244</v>
      </c>
      <c r="F27" s="27"/>
      <c r="G27" s="1"/>
      <c r="H27" s="1"/>
    </row>
    <row r="28" spans="1:8" ht="16" customHeight="1">
      <c r="A28" s="1">
        <f t="shared" si="0"/>
        <v>23</v>
      </c>
      <c r="B28" s="1" t="s">
        <v>242</v>
      </c>
      <c r="C28" s="15" t="s">
        <v>243</v>
      </c>
      <c r="D28" s="1" t="s">
        <v>230</v>
      </c>
      <c r="E28" s="1" t="s">
        <v>239</v>
      </c>
      <c r="F28" s="4"/>
      <c r="G28" s="1"/>
      <c r="H28" s="1"/>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1E060DA-7E17-4942-B37C-4D18258907E1}">
          <x14:formula1>
            <xm:f>dataTypeプルダウン項目!$C$3:$C$5</xm:f>
          </x14:formula1>
          <xm:sqref>G9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7"/>
  <sheetViews>
    <sheetView zoomScaleNormal="100" workbookViewId="0">
      <pane ySplit="7" topLeftCell="A32" activePane="bottomLeft" state="frozen"/>
      <selection pane="bottomLeft"/>
    </sheetView>
  </sheetViews>
  <sheetFormatPr baseColWidth="10" defaultColWidth="8.83203125" defaultRowHeight="15" outlineLevelCol="1"/>
  <cols>
    <col min="1" max="1" width="39.1640625" bestFit="1" customWidth="1"/>
    <col min="2" max="2" width="11.5" bestFit="1" customWidth="1"/>
    <col min="3" max="3" width="9.1640625" style="3" bestFit="1" customWidth="1"/>
    <col min="4" max="4" width="9.6640625" style="3" customWidth="1"/>
    <col min="5" max="5" width="18.83203125" style="3" customWidth="1"/>
    <col min="6" max="6" width="18.1640625" style="3" customWidth="1"/>
    <col min="7" max="7" width="12.83203125" style="3" customWidth="1"/>
    <col min="8" max="8" width="14.6640625" style="3" bestFit="1" customWidth="1"/>
    <col min="9" max="10" width="5.6640625" customWidth="1" outlineLevel="1"/>
    <col min="11" max="11" width="7.5" customWidth="1" outlineLevel="1"/>
    <col min="12" max="14" width="8" customWidth="1" outlineLevel="1"/>
    <col min="15" max="15" width="31.6640625" customWidth="1" outlineLevel="1"/>
    <col min="16" max="19" width="16.33203125" customWidth="1"/>
  </cols>
  <sheetData>
    <row r="1" spans="1:19">
      <c r="A1" s="7" t="s">
        <v>42</v>
      </c>
      <c r="B1" s="3"/>
    </row>
    <row r="2" spans="1:19" ht="16" customHeight="1">
      <c r="A2" s="7"/>
      <c r="B2" s="3"/>
      <c r="P2" s="72" t="s">
        <v>1</v>
      </c>
      <c r="Q2" s="72" t="s">
        <v>2</v>
      </c>
      <c r="R2" s="72" t="s">
        <v>3</v>
      </c>
      <c r="S2" s="72" t="s">
        <v>4</v>
      </c>
    </row>
    <row r="3" spans="1:19">
      <c r="A3" s="79" t="s">
        <v>245</v>
      </c>
      <c r="B3" s="3"/>
      <c r="P3" s="32" t="str">
        <f>IF(各種設定!$G$11=0,"",各種設定!$G$11)</f>
        <v/>
      </c>
      <c r="Q3" s="32" t="str">
        <f>IF(各種設定!$G$12=0,"",各種設定!$G$12)</f>
        <v/>
      </c>
      <c r="R3" s="32" t="str">
        <f>IF(各種設定!$G$13=0,"",各種設定!$G$13)</f>
        <v/>
      </c>
      <c r="S3" s="32" t="str">
        <f>IF(各種設定!$G$14=0,"",各種設定!$G$14)</f>
        <v/>
      </c>
    </row>
    <row r="4" spans="1:19">
      <c r="A4" s="7"/>
      <c r="B4" s="3"/>
    </row>
    <row r="5" spans="1:19" ht="32" customHeight="1">
      <c r="A5" s="7"/>
      <c r="B5" s="28" t="s">
        <v>246</v>
      </c>
      <c r="C5" s="132" t="s">
        <v>247</v>
      </c>
      <c r="D5" s="133"/>
      <c r="E5" s="133"/>
      <c r="F5" s="133"/>
      <c r="G5" s="133"/>
      <c r="H5" s="133"/>
      <c r="I5" s="130" t="s">
        <v>248</v>
      </c>
      <c r="J5" s="131"/>
      <c r="K5" s="131"/>
      <c r="L5" s="131"/>
      <c r="M5" s="30" t="s">
        <v>249</v>
      </c>
      <c r="N5" s="50" t="s">
        <v>250</v>
      </c>
      <c r="O5" s="56" t="s">
        <v>37</v>
      </c>
      <c r="P5" s="132" t="s">
        <v>247</v>
      </c>
      <c r="Q5" s="131"/>
      <c r="R5" s="131"/>
      <c r="S5" s="131"/>
    </row>
    <row r="6" spans="1:19">
      <c r="B6" s="20" t="s">
        <v>193</v>
      </c>
      <c r="C6" s="26" t="s">
        <v>251</v>
      </c>
      <c r="D6" s="26" t="s">
        <v>193</v>
      </c>
      <c r="E6" s="22" t="s">
        <v>193</v>
      </c>
      <c r="F6" s="26" t="s">
        <v>193</v>
      </c>
      <c r="G6" s="22" t="s">
        <v>251</v>
      </c>
      <c r="H6" s="22" t="s">
        <v>251</v>
      </c>
      <c r="I6" s="24" t="s">
        <v>251</v>
      </c>
      <c r="J6" s="24" t="s">
        <v>251</v>
      </c>
      <c r="K6" s="24" t="s">
        <v>251</v>
      </c>
      <c r="L6" s="24" t="s">
        <v>251</v>
      </c>
      <c r="M6" s="31" t="s">
        <v>193</v>
      </c>
      <c r="N6" s="49" t="s">
        <v>251</v>
      </c>
      <c r="O6" s="21" t="s">
        <v>251</v>
      </c>
      <c r="P6" s="22" t="s">
        <v>251</v>
      </c>
      <c r="Q6" s="22" t="s">
        <v>251</v>
      </c>
      <c r="R6" s="22" t="s">
        <v>251</v>
      </c>
      <c r="S6" s="22" t="s">
        <v>251</v>
      </c>
    </row>
    <row r="7" spans="1:19" ht="32" customHeight="1">
      <c r="A7" s="4" t="s">
        <v>239</v>
      </c>
      <c r="B7" s="4" t="s">
        <v>44</v>
      </c>
      <c r="C7" s="5" t="s">
        <v>252</v>
      </c>
      <c r="D7" s="5" t="s">
        <v>253</v>
      </c>
      <c r="E7" s="5" t="s">
        <v>254</v>
      </c>
      <c r="F7" s="70" t="s">
        <v>77</v>
      </c>
      <c r="G7" s="5" t="s">
        <v>255</v>
      </c>
      <c r="H7" s="5" t="s">
        <v>256</v>
      </c>
      <c r="I7" s="5" t="s">
        <v>257</v>
      </c>
      <c r="J7" s="5" t="s">
        <v>258</v>
      </c>
      <c r="K7" s="5" t="s">
        <v>259</v>
      </c>
      <c r="L7" s="5" t="s">
        <v>260</v>
      </c>
      <c r="M7" s="5" t="s">
        <v>261</v>
      </c>
      <c r="N7" s="5" t="s">
        <v>262</v>
      </c>
      <c r="O7" s="5" t="s">
        <v>37</v>
      </c>
      <c r="P7" s="5" t="s">
        <v>263</v>
      </c>
      <c r="Q7" s="5" t="s">
        <v>264</v>
      </c>
      <c r="R7" s="5" t="s">
        <v>265</v>
      </c>
      <c r="S7" s="5" t="s">
        <v>266</v>
      </c>
    </row>
    <row r="8" spans="1:19">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spans="1:1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spans="1:19">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spans="1:19">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spans="1:19">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spans="1:19"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spans="1:19"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spans="1:19">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spans="1:19">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spans="1:19">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spans="1:19"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spans="1: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spans="1:19">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spans="1:19">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spans="1:19"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spans="1:19"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spans="1:19">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spans="1:19"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spans="1:19">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spans="1:19">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spans="1:19">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spans="1:1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spans="1:19">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spans="1:19"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spans="1:19"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spans="1:19">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spans="1:19"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spans="1:19">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spans="1:19">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spans="1:19">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type="list" allowBlank="1" showInputMessage="1" showErrorMessage="1" sqref="F1:H1 F1048307:H1048576 F3:H4" xr:uid="{00000000-0002-0000-0500-000000000000}">
      <formula1>INDIRECT(#REF!)</formula1>
    </dataValidation>
    <dataValidation type="list" allowBlank="1" showInputMessage="1" showErrorMessage="1" sqref="H37:H1048292 F34:G1048292 G29:G30 R34:S37 P35:Q37" xr:uid="{00000000-0002-0000-0500-000001000000}">
      <formula1>INDIRECT($C32)</formula1>
    </dataValidation>
    <dataValidation type="list" allowBlank="1" showInputMessage="1" showErrorMessage="1" sqref="F33:G33 P33:S33" xr:uid="{00000000-0002-0000-0500-000002000000}">
      <formula1>INDIRECT($C35)</formula1>
    </dataValidation>
    <dataValidation type="list" allowBlank="1" showInputMessage="1" showErrorMessage="1" sqref="N8:N37" xr:uid="{00000000-0002-0000-0500-000003000000}">
      <formula1>"○"</formula1>
    </dataValidation>
    <dataValidation type="list" allowBlank="1" showInputMessage="1" showErrorMessage="1" sqref="E8:E37" xr:uid="{00000000-0002-0000-0500-000004000000}">
      <formula1>一般</formula1>
    </dataValidation>
    <dataValidation type="list" allowBlank="1" showInputMessage="1" showErrorMessage="1" sqref="F2:H2" xr:uid="{00000000-0002-0000-0500-000005000000}">
      <formula1>INDIRECT($C6)</formula1>
    </dataValidation>
    <dataValidation type="list" allowBlank="1" showInputMessage="1" showErrorMessage="1" sqref="F1048293:H1048306" xr:uid="{00000000-0002-0000-0500-000006000000}">
      <formula1>INDIRECT($C1)</formula1>
    </dataValidation>
  </dataValidations>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774DD3D-3B6A-0B4D-8863-70F465B5B136}">
          <x14:formula1>
            <xm:f>dataTypeプルダウン項目!$B$3:$B$17</xm:f>
          </x14:formula1>
          <xm:sqref>B8:B37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zoomScale="90" zoomScaleNormal="90" workbookViewId="0">
      <selection activeCell="C21" sqref="C21"/>
    </sheetView>
  </sheetViews>
  <sheetFormatPr baseColWidth="10" defaultColWidth="8.83203125" defaultRowHeight="15" outlineLevelCol="1"/>
  <cols>
    <col min="1" max="1" width="25.33203125" style="3" customWidth="1"/>
    <col min="2" max="2" width="9.1640625" style="3" bestFit="1" customWidth="1"/>
    <col min="3" max="3" width="51.5" style="3" bestFit="1" customWidth="1"/>
    <col min="4" max="4" width="12.1640625" style="3" customWidth="1" outlineLevel="1"/>
    <col min="5" max="5" width="44.6640625" customWidth="1" outlineLevel="1"/>
    <col min="6" max="9" width="25" customWidth="1"/>
  </cols>
  <sheetData>
    <row r="1" spans="1:9">
      <c r="A1" s="7" t="s">
        <v>267</v>
      </c>
      <c r="D1" s="7"/>
    </row>
    <row r="3" spans="1:9" ht="16" customHeight="1">
      <c r="A3" s="3" t="s">
        <v>268</v>
      </c>
      <c r="F3" s="71" t="s">
        <v>1</v>
      </c>
      <c r="G3" s="71" t="s">
        <v>2</v>
      </c>
      <c r="H3" s="71" t="s">
        <v>3</v>
      </c>
      <c r="I3" s="71" t="s">
        <v>4</v>
      </c>
    </row>
    <row r="4" spans="1:9">
      <c r="A4" s="3" t="s">
        <v>269</v>
      </c>
      <c r="D4" s="52"/>
      <c r="F4" s="32" t="str">
        <f>IF(各種設定!$G$11=0,"",各種設定!$G$11)</f>
        <v/>
      </c>
      <c r="G4" s="32" t="str">
        <f>IF(各種設定!$G$12=0,"",各種設定!$G$12)</f>
        <v/>
      </c>
      <c r="H4" s="32" t="str">
        <f>IF(各種設定!$G$13=0,"",各種設定!$G$13)</f>
        <v/>
      </c>
      <c r="I4" s="32" t="str">
        <f>IF(各種設定!$G$14=0,"",各種設定!$G$14)</f>
        <v/>
      </c>
    </row>
    <row r="6" spans="1:9" ht="16" customHeight="1">
      <c r="A6" s="3" t="s">
        <v>239</v>
      </c>
      <c r="B6" s="3" t="s">
        <v>270</v>
      </c>
      <c r="C6" s="3" t="s">
        <v>271</v>
      </c>
      <c r="D6" s="3" t="s">
        <v>9</v>
      </c>
      <c r="E6" s="3" t="s">
        <v>37</v>
      </c>
      <c r="F6" s="77" t="s">
        <v>272</v>
      </c>
      <c r="G6" s="77" t="s">
        <v>273</v>
      </c>
      <c r="H6" s="77" t="s">
        <v>274</v>
      </c>
      <c r="I6" s="77" t="s">
        <v>275</v>
      </c>
    </row>
    <row r="7" spans="1:9">
      <c r="A7" s="6"/>
      <c r="B7" s="16"/>
      <c r="C7" s="16"/>
      <c r="D7" s="9"/>
      <c r="F7" s="16"/>
      <c r="G7" s="17"/>
    </row>
    <row r="8" spans="1:9">
      <c r="A8" s="6"/>
      <c r="B8" s="16"/>
      <c r="C8" s="16"/>
      <c r="D8" s="9"/>
      <c r="F8" s="16"/>
      <c r="G8" s="17"/>
    </row>
    <row r="9" spans="1:9">
      <c r="A9" s="6"/>
      <c r="B9" s="16"/>
      <c r="C9" s="16"/>
      <c r="D9" s="9"/>
      <c r="E9" s="33"/>
      <c r="F9" s="16"/>
      <c r="G9" s="17"/>
      <c r="H9" s="16"/>
      <c r="I9" s="16"/>
    </row>
    <row r="10" spans="1:9">
      <c r="B10" s="16"/>
      <c r="C10" s="16"/>
      <c r="D10" s="9"/>
      <c r="E10" s="33"/>
      <c r="F10" s="16"/>
      <c r="G10" s="16"/>
      <c r="H10" s="16"/>
      <c r="I10" s="16"/>
    </row>
    <row r="11" spans="1:9">
      <c r="B11" s="16"/>
      <c r="C11" s="16"/>
      <c r="D11" s="9"/>
      <c r="E11" s="33"/>
      <c r="F11" s="16"/>
      <c r="G11" s="16"/>
      <c r="H11" s="16"/>
      <c r="I11" s="16"/>
    </row>
    <row r="12" spans="1:9">
      <c r="A12" s="6"/>
      <c r="B12" s="16"/>
      <c r="C12" s="16"/>
      <c r="D12" s="9"/>
      <c r="E12" s="33"/>
      <c r="F12" s="16"/>
      <c r="G12" s="55"/>
      <c r="H12" s="16"/>
      <c r="I12" s="16"/>
    </row>
    <row r="13" spans="1:9">
      <c r="A13" s="6"/>
      <c r="B13" s="16"/>
      <c r="C13" s="17"/>
      <c r="D13" s="9"/>
      <c r="E13" s="33"/>
      <c r="F13" s="16"/>
      <c r="G13" s="16"/>
      <c r="H13" s="16"/>
      <c r="I13" s="16"/>
    </row>
    <row r="14" spans="1:9">
      <c r="A14" s="6"/>
      <c r="B14" s="16"/>
      <c r="C14" s="16"/>
      <c r="D14" s="9"/>
      <c r="E14" s="33"/>
      <c r="F14" s="16"/>
      <c r="G14" s="16"/>
      <c r="H14" s="16"/>
      <c r="I14" s="16"/>
    </row>
    <row r="15" spans="1:9">
      <c r="A15" s="42"/>
      <c r="B15" s="16"/>
      <c r="C15" s="16"/>
      <c r="D15" s="9"/>
      <c r="E15" s="33"/>
      <c r="F15" s="16"/>
      <c r="G15" s="16"/>
      <c r="H15" s="16"/>
      <c r="I15" s="16"/>
    </row>
    <row r="16" spans="1:9">
      <c r="A16" s="42"/>
      <c r="B16" s="16"/>
      <c r="C16" s="16"/>
      <c r="D16" s="9"/>
      <c r="E16" s="33"/>
      <c r="F16" s="16"/>
      <c r="G16" s="17"/>
      <c r="H16" s="16"/>
      <c r="I16" s="16"/>
    </row>
    <row r="17" spans="1:9">
      <c r="A17" s="6"/>
      <c r="B17" s="16"/>
      <c r="C17" s="16"/>
      <c r="D17" s="9"/>
      <c r="E17" s="33"/>
      <c r="F17" s="16"/>
      <c r="G17" s="17"/>
      <c r="H17" s="16"/>
      <c r="I17" s="16"/>
    </row>
    <row r="18" spans="1:9">
      <c r="A18" s="6"/>
      <c r="B18" s="16"/>
      <c r="C18" s="16"/>
      <c r="D18" s="9"/>
      <c r="E18" s="33"/>
      <c r="F18" s="16"/>
      <c r="G18" s="17"/>
      <c r="H18" s="16"/>
      <c r="I18" s="16"/>
    </row>
    <row r="19" spans="1:9">
      <c r="A19" s="6"/>
      <c r="B19" s="16"/>
      <c r="C19" s="16"/>
      <c r="D19" s="9"/>
      <c r="E19" s="33"/>
      <c r="F19" s="16"/>
      <c r="G19" s="17"/>
      <c r="H19" s="16"/>
      <c r="I19" s="16"/>
    </row>
    <row r="20" spans="1:9">
      <c r="A20" s="6"/>
      <c r="B20" s="16"/>
      <c r="C20" s="16"/>
      <c r="D20" s="9"/>
      <c r="E20" s="33"/>
      <c r="F20" s="16"/>
      <c r="G20" s="55"/>
      <c r="H20" s="16"/>
      <c r="I20" s="16"/>
    </row>
    <row r="21" spans="1:9" ht="16" customHeight="1">
      <c r="A21" s="6"/>
      <c r="B21" s="16"/>
      <c r="C21" s="16"/>
      <c r="D21" s="9"/>
      <c r="E21" s="33"/>
      <c r="F21" s="16"/>
      <c r="G21" s="17"/>
      <c r="H21" s="16"/>
      <c r="I21" s="16"/>
    </row>
    <row r="22" spans="1:9">
      <c r="A22" s="6"/>
      <c r="B22" s="16"/>
      <c r="C22" s="16"/>
      <c r="D22" s="9"/>
      <c r="E22" s="33"/>
      <c r="F22" s="16"/>
      <c r="G22" s="17"/>
      <c r="H22" s="16"/>
      <c r="I22" s="16"/>
    </row>
    <row r="23" spans="1:9">
      <c r="A23" s="6"/>
      <c r="B23" s="16"/>
      <c r="C23" s="16"/>
      <c r="D23" s="9"/>
      <c r="E23" s="33"/>
      <c r="F23" s="16"/>
      <c r="G23" s="17"/>
      <c r="H23" s="16"/>
      <c r="I23" s="16"/>
    </row>
    <row r="24" spans="1:9">
      <c r="A24" s="6"/>
      <c r="B24" s="16"/>
      <c r="C24" s="16"/>
      <c r="D24" s="9"/>
      <c r="E24" s="33"/>
      <c r="F24" s="16"/>
      <c r="G24" s="17"/>
      <c r="H24" s="16"/>
      <c r="I24" s="16"/>
    </row>
    <row r="25" spans="1:9">
      <c r="A25" s="6"/>
      <c r="B25" s="16"/>
      <c r="C25" s="16"/>
      <c r="D25" s="9"/>
      <c r="E25" s="33"/>
      <c r="F25" s="16"/>
      <c r="G25" s="17"/>
      <c r="H25" s="16"/>
      <c r="I25" s="16"/>
    </row>
    <row r="26" spans="1:9">
      <c r="A26" s="6"/>
      <c r="B26" s="16"/>
      <c r="C26" s="16"/>
      <c r="D26" s="9"/>
      <c r="E26" s="33"/>
      <c r="F26" s="16"/>
      <c r="G26" s="17"/>
      <c r="H26" s="16"/>
      <c r="I26" s="16"/>
    </row>
    <row r="27" spans="1:9">
      <c r="A27" s="6"/>
      <c r="B27" s="16"/>
      <c r="C27" s="16"/>
      <c r="D27" s="9"/>
      <c r="E27" s="33"/>
      <c r="F27" s="16"/>
      <c r="G27" s="17"/>
      <c r="H27" s="16"/>
      <c r="I27" s="16"/>
    </row>
    <row r="28" spans="1:9">
      <c r="A28" s="6"/>
      <c r="B28" s="16"/>
      <c r="C28" s="16"/>
      <c r="D28" s="9"/>
      <c r="E28" s="33"/>
      <c r="F28" s="16"/>
      <c r="G28" s="17"/>
      <c r="H28" s="16"/>
      <c r="I28" s="16"/>
    </row>
    <row r="29" spans="1:9">
      <c r="A29" s="6"/>
      <c r="B29" s="16"/>
      <c r="C29" s="16"/>
      <c r="D29" s="9"/>
      <c r="E29" s="33"/>
      <c r="F29" s="16"/>
      <c r="G29" s="17"/>
      <c r="H29" s="16"/>
      <c r="I29" s="16"/>
    </row>
    <row r="30" spans="1:9">
      <c r="A30" s="6"/>
      <c r="B30" s="16"/>
      <c r="C30" s="16"/>
      <c r="D30" s="9"/>
      <c r="E30" s="33"/>
      <c r="F30" s="16"/>
      <c r="G30" s="17"/>
      <c r="H30" s="16"/>
      <c r="I30" s="16"/>
    </row>
    <row r="31" spans="1:9">
      <c r="A31" s="42"/>
      <c r="B31" s="16"/>
      <c r="C31" s="16"/>
      <c r="D31" s="9"/>
      <c r="E31" s="33"/>
      <c r="F31" s="16"/>
      <c r="G31" s="55"/>
      <c r="H31" s="16"/>
      <c r="I31" s="16"/>
    </row>
    <row r="32" spans="1:9">
      <c r="A32" s="42"/>
      <c r="B32" s="16"/>
      <c r="C32" s="16"/>
      <c r="D32" s="9"/>
      <c r="E32" s="33"/>
      <c r="F32" s="16"/>
      <c r="G32" s="55"/>
      <c r="H32" s="16"/>
      <c r="I32" s="16"/>
    </row>
    <row r="33" spans="1:9">
      <c r="A33" s="42"/>
      <c r="B33" s="16"/>
      <c r="C33" s="16"/>
      <c r="D33" s="9"/>
      <c r="E33" s="33"/>
      <c r="F33" s="16"/>
      <c r="G33" s="55"/>
      <c r="H33" s="16"/>
      <c r="I33" s="16"/>
    </row>
  </sheetData>
  <dataValidations count="1">
    <dataValidation type="list" allowBlank="1" showInputMessage="1" showErrorMessage="1" sqref="D7:D33" xr:uid="{00000000-0002-0000-0600-000000000000}">
      <formula1>"○"</formula1>
    </dataValidation>
  </dataValidations>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AR119"/>
  <sheetViews>
    <sheetView topLeftCell="I1" zoomScaleNormal="100" zoomScaleSheetLayoutView="80" workbookViewId="0">
      <selection activeCell="O2" sqref="O2"/>
    </sheetView>
  </sheetViews>
  <sheetFormatPr baseColWidth="10" defaultColWidth="9"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customWidth="1" outlineLevel="1"/>
    <col min="23" max="25" width="9.1640625" style="37" customWidth="1" outlineLevel="2"/>
    <col min="26" max="26" width="9.1640625" style="35" customWidth="1" outlineLevel="2"/>
    <col min="27" max="32" width="9.1640625" style="38" customWidth="1" outlineLevel="2"/>
    <col min="33" max="33" width="19.33203125" style="38" customWidth="1" outlineLevel="1"/>
    <col min="34" max="37" width="33.33203125" style="38" customWidth="1"/>
    <col min="38" max="38" width="9" style="38" customWidth="1"/>
    <col min="39" max="16384" width="9" style="38"/>
  </cols>
  <sheetData>
    <row r="1" spans="1:44">
      <c r="A1" s="34" t="s">
        <v>0</v>
      </c>
    </row>
    <row r="2" spans="1:44" ht="16" customHeight="1">
      <c r="AH2" s="72" t="s">
        <v>1</v>
      </c>
      <c r="AI2" s="72" t="s">
        <v>2</v>
      </c>
      <c r="AJ2" s="72" t="s">
        <v>3</v>
      </c>
      <c r="AK2" s="72" t="s">
        <v>4</v>
      </c>
    </row>
    <row r="3" spans="1:44">
      <c r="A3" s="52"/>
      <c r="AH3" s="32" t="str">
        <f>IF(各種設定!$G$11=0,"",各種設定!$G$11)</f>
        <v/>
      </c>
      <c r="AI3" s="32" t="str">
        <f>IF(各種設定!$G$12=0,"",各種設定!$G$12)</f>
        <v/>
      </c>
      <c r="AJ3" s="32" t="str">
        <f>IF(各種設定!$G$13=0,"",各種設定!$G$13)</f>
        <v/>
      </c>
      <c r="AK3" s="32" t="str">
        <f>IF(各種設定!$G$14=0,"",各種設定!$G$14)</f>
        <v/>
      </c>
    </row>
    <row r="4" spans="1:44">
      <c r="A4" s="34"/>
    </row>
    <row r="5" spans="1:44" s="40" customFormat="1" ht="45" customHeight="1">
      <c r="A5" s="39"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75" t="s">
        <v>27</v>
      </c>
      <c r="X5" s="75" t="s">
        <v>28</v>
      </c>
      <c r="Y5" s="75" t="s">
        <v>29</v>
      </c>
      <c r="Z5" s="75" t="s">
        <v>30</v>
      </c>
      <c r="AA5" s="75" t="s">
        <v>31</v>
      </c>
      <c r="AB5" s="75" t="s">
        <v>32</v>
      </c>
      <c r="AC5" s="75" t="s">
        <v>33</v>
      </c>
      <c r="AD5" s="75" t="s">
        <v>34</v>
      </c>
      <c r="AE5" s="75" t="s">
        <v>35</v>
      </c>
      <c r="AF5" s="75" t="s">
        <v>36</v>
      </c>
      <c r="AG5" s="75" t="s">
        <v>37</v>
      </c>
      <c r="AH5" s="74" t="s">
        <v>38</v>
      </c>
      <c r="AI5" s="76" t="s">
        <v>39</v>
      </c>
      <c r="AJ5" s="76" t="s">
        <v>40</v>
      </c>
      <c r="AK5" s="76" t="s">
        <v>41</v>
      </c>
      <c r="AR5" s="41"/>
    </row>
    <row r="6" spans="1:44" s="40" customFormat="1" ht="14" customHeight="1">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8"/>
      <c r="AG6" s="25"/>
      <c r="AH6" s="42"/>
      <c r="AI6" s="54"/>
      <c r="AJ6" s="42"/>
      <c r="AK6" s="39"/>
      <c r="AR6" s="41"/>
    </row>
    <row r="7" spans="1:44" s="40" customFormat="1" ht="14" customHeight="1">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8"/>
      <c r="AG7" s="25"/>
      <c r="AH7" s="6"/>
      <c r="AI7" s="6"/>
      <c r="AJ7" s="42"/>
      <c r="AK7" s="39"/>
      <c r="AR7" s="41"/>
    </row>
    <row r="8" spans="1:44" s="40" customFormat="1" ht="14" customHeight="1">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8"/>
      <c r="AG8" s="25"/>
      <c r="AH8" s="6"/>
      <c r="AI8" s="6"/>
      <c r="AJ8" s="42"/>
      <c r="AK8" s="39"/>
      <c r="AR8" s="41"/>
    </row>
    <row r="9" spans="1:44" s="40" customFormat="1" ht="14" customHeight="1">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8"/>
      <c r="AG9" s="25"/>
      <c r="AH9" s="6"/>
      <c r="AI9" s="6"/>
      <c r="AJ9" s="42"/>
      <c r="AK9" s="39"/>
      <c r="AR9" s="41"/>
    </row>
    <row r="10" spans="1:44" s="40" customFormat="1" ht="14" customHeight="1">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8"/>
      <c r="V10" s="9"/>
      <c r="W10" s="8"/>
      <c r="X10" s="8"/>
      <c r="Y10" s="8"/>
      <c r="Z10" s="8"/>
      <c r="AA10" s="8"/>
      <c r="AB10" s="8"/>
      <c r="AC10" s="8"/>
      <c r="AD10" s="8"/>
      <c r="AE10" s="8"/>
      <c r="AF10" s="8"/>
      <c r="AG10" s="25"/>
      <c r="AH10" s="6"/>
      <c r="AI10" s="6"/>
      <c r="AJ10" s="42"/>
      <c r="AK10" s="39"/>
      <c r="AR10" s="41"/>
    </row>
    <row r="11" spans="1:44" s="40" customFormat="1" ht="14" customHeight="1">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8"/>
      <c r="V11" s="9"/>
      <c r="W11" s="8"/>
      <c r="X11" s="8"/>
      <c r="Y11" s="8"/>
      <c r="Z11" s="8"/>
      <c r="AA11" s="8"/>
      <c r="AB11" s="8"/>
      <c r="AC11" s="8"/>
      <c r="AD11" s="8"/>
      <c r="AE11" s="8"/>
      <c r="AF11" s="8"/>
      <c r="AG11" s="25"/>
      <c r="AH11" s="6"/>
      <c r="AI11" s="6"/>
      <c r="AJ11" s="42"/>
      <c r="AK11" s="39"/>
      <c r="AR11" s="41"/>
    </row>
    <row r="12" spans="1:44" s="40" customFormat="1" ht="14" customHeight="1">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8"/>
      <c r="AG12" s="25"/>
      <c r="AH12" s="42"/>
      <c r="AI12" s="54"/>
      <c r="AJ12" s="42"/>
      <c r="AK12" s="39"/>
      <c r="AR12" s="41"/>
    </row>
    <row r="13" spans="1:44">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8"/>
      <c r="AG13" s="25"/>
      <c r="AH13" s="6"/>
      <c r="AI13" s="42"/>
      <c r="AJ13" s="42"/>
      <c r="AK13" s="39"/>
    </row>
    <row r="14" spans="1:44">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8"/>
      <c r="AG14" s="25"/>
      <c r="AH14" s="42"/>
      <c r="AI14" s="42"/>
      <c r="AJ14" s="42"/>
      <c r="AK14" s="39"/>
    </row>
    <row r="15" spans="1:44">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8"/>
      <c r="AG15" s="25"/>
      <c r="AH15" s="42"/>
      <c r="AI15" s="42"/>
      <c r="AJ15" s="42"/>
      <c r="AK15" s="39"/>
    </row>
    <row r="16" spans="1:44">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8"/>
      <c r="AG16" s="25"/>
      <c r="AH16" s="42"/>
      <c r="AI16" s="6"/>
      <c r="AJ16" s="42"/>
      <c r="AK16" s="39"/>
    </row>
    <row r="17" spans="1:44">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8"/>
      <c r="AG17" s="25"/>
      <c r="AH17" s="42"/>
      <c r="AI17" s="6"/>
      <c r="AJ17" s="42"/>
      <c r="AK17" s="39"/>
    </row>
    <row r="18" spans="1:44">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8"/>
      <c r="AG18" s="25"/>
      <c r="AH18" s="42"/>
      <c r="AI18" s="6"/>
      <c r="AJ18" s="42"/>
      <c r="AK18" s="39"/>
    </row>
    <row r="19" spans="1:44">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8"/>
      <c r="AG19" s="25"/>
      <c r="AH19" s="6"/>
      <c r="AI19" s="6"/>
      <c r="AJ19" s="42"/>
      <c r="AK19" s="39"/>
    </row>
    <row r="20" spans="1:44">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8"/>
      <c r="AG20" s="25"/>
      <c r="AH20" s="42"/>
      <c r="AI20" s="6"/>
      <c r="AJ20" s="42"/>
      <c r="AK20" s="39"/>
    </row>
    <row r="21" spans="1:44">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8"/>
      <c r="AG21" s="25"/>
      <c r="AH21" s="42"/>
      <c r="AI21" s="6"/>
      <c r="AJ21" s="42"/>
      <c r="AK21" s="39"/>
    </row>
    <row r="22" spans="1:44" s="40" customFormat="1" ht="14" customHeight="1">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8"/>
      <c r="V22" s="9"/>
      <c r="W22" s="8"/>
      <c r="X22" s="8"/>
      <c r="Y22" s="8"/>
      <c r="Z22" s="8"/>
      <c r="AA22" s="8"/>
      <c r="AB22" s="8"/>
      <c r="AC22" s="8"/>
      <c r="AD22" s="8"/>
      <c r="AE22" s="8"/>
      <c r="AF22" s="8"/>
      <c r="AG22" s="25"/>
      <c r="AH22" s="42"/>
      <c r="AI22" s="51"/>
      <c r="AJ22" s="42"/>
      <c r="AK22" s="39"/>
      <c r="AR22" s="41"/>
    </row>
    <row r="23" spans="1:44" s="40" customFormat="1" ht="14" customHeight="1">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8"/>
      <c r="Y23" s="44"/>
      <c r="Z23" s="44"/>
      <c r="AA23" s="44"/>
      <c r="AB23" s="44"/>
      <c r="AC23" s="44"/>
      <c r="AD23" s="44"/>
      <c r="AE23" s="44"/>
      <c r="AF23" s="44"/>
      <c r="AG23" s="60"/>
      <c r="AH23" s="42"/>
      <c r="AI23" s="51"/>
      <c r="AJ23" s="42"/>
      <c r="AK23" s="39"/>
      <c r="AR23" s="41"/>
    </row>
    <row r="24" spans="1:44">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8"/>
      <c r="S24" s="53"/>
      <c r="T24" s="53"/>
      <c r="U24" s="53"/>
      <c r="V24" s="8"/>
      <c r="W24" s="8"/>
      <c r="X24" s="8"/>
      <c r="Y24" s="8"/>
      <c r="Z24" s="8"/>
      <c r="AA24" s="8"/>
      <c r="AB24" s="8"/>
      <c r="AC24" s="8"/>
      <c r="AD24" s="8"/>
      <c r="AE24" s="8"/>
      <c r="AF24" s="8"/>
      <c r="AG24" s="25"/>
      <c r="AH24" s="6"/>
      <c r="AI24" s="63"/>
    </row>
    <row r="25" spans="1:44">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8"/>
      <c r="AG25" s="25"/>
      <c r="AH25" s="42"/>
      <c r="AI25" s="6"/>
      <c r="AJ25" s="42"/>
      <c r="AK25" s="39"/>
    </row>
    <row r="26" spans="1:44" s="40" customFormat="1" ht="14" customHeight="1">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8"/>
      <c r="Y26" s="44"/>
      <c r="Z26" s="44"/>
      <c r="AA26" s="44"/>
      <c r="AB26" s="44"/>
      <c r="AC26" s="44"/>
      <c r="AD26" s="44"/>
      <c r="AE26" s="44"/>
      <c r="AF26" s="44"/>
      <c r="AG26" s="60"/>
      <c r="AH26" s="42"/>
      <c r="AI26" s="6"/>
      <c r="AJ26" s="42"/>
      <c r="AK26" s="39"/>
      <c r="AR26" s="41"/>
    </row>
    <row r="27" spans="1:44" s="40" customFormat="1" ht="14" customHeight="1">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8"/>
      <c r="Y27" s="44"/>
      <c r="Z27" s="44"/>
      <c r="AA27" s="44"/>
      <c r="AB27" s="44"/>
      <c r="AC27" s="44"/>
      <c r="AD27" s="44"/>
      <c r="AE27" s="44"/>
      <c r="AF27" s="44"/>
      <c r="AG27" s="60"/>
      <c r="AH27" s="51"/>
      <c r="AI27" s="6"/>
      <c r="AJ27" s="42"/>
      <c r="AK27" s="39"/>
      <c r="AR27" s="41"/>
    </row>
    <row r="28" spans="1:44" s="40" customFormat="1" ht="14" customHeight="1">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8"/>
      <c r="Y28" s="44"/>
      <c r="Z28" s="44"/>
      <c r="AA28" s="44"/>
      <c r="AB28" s="44"/>
      <c r="AC28" s="44"/>
      <c r="AD28" s="44"/>
      <c r="AE28" s="44"/>
      <c r="AF28" s="44"/>
      <c r="AG28" s="60"/>
      <c r="AH28" s="42"/>
      <c r="AI28" s="42"/>
      <c r="AJ28" s="42"/>
      <c r="AK28" s="39"/>
      <c r="AR28" s="41"/>
    </row>
    <row r="29" spans="1:44" s="40" customFormat="1" ht="14" customHeight="1">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8"/>
      <c r="S29" s="53"/>
      <c r="T29" s="53"/>
      <c r="U29" s="8"/>
      <c r="V29" s="8"/>
      <c r="W29" s="8"/>
      <c r="X29" s="8"/>
      <c r="Y29" s="44"/>
      <c r="Z29" s="44"/>
      <c r="AA29" s="44"/>
      <c r="AB29" s="44"/>
      <c r="AC29" s="44"/>
      <c r="AD29" s="44"/>
      <c r="AE29" s="44"/>
      <c r="AF29" s="44"/>
      <c r="AG29" s="60"/>
      <c r="AH29" s="6"/>
      <c r="AI29" s="63"/>
      <c r="AJ29" s="42"/>
      <c r="AK29" s="39"/>
      <c r="AR29" s="41"/>
    </row>
    <row r="30" spans="1:44" s="40" customFormat="1" ht="14" customHeight="1">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8"/>
      <c r="Y30" s="44"/>
      <c r="Z30" s="44"/>
      <c r="AA30" s="44"/>
      <c r="AB30" s="44"/>
      <c r="AC30" s="44"/>
      <c r="AD30" s="44"/>
      <c r="AE30" s="44"/>
      <c r="AF30" s="44"/>
      <c r="AG30" s="60"/>
      <c r="AH30" s="51"/>
      <c r="AI30" s="51"/>
      <c r="AJ30" s="42"/>
      <c r="AK30" s="39"/>
      <c r="AR30" s="41"/>
    </row>
    <row r="31" spans="1:44" s="40" customFormat="1" ht="14" customHeight="1">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8"/>
      <c r="Y31" s="44"/>
      <c r="Z31" s="44"/>
      <c r="AA31" s="44"/>
      <c r="AB31" s="44"/>
      <c r="AC31" s="44"/>
      <c r="AD31" s="44"/>
      <c r="AE31" s="44"/>
      <c r="AF31" s="44"/>
      <c r="AG31" s="60"/>
      <c r="AH31" s="51"/>
      <c r="AI31" s="51"/>
      <c r="AJ31" s="42"/>
      <c r="AK31" s="39"/>
      <c r="AR31" s="41"/>
    </row>
    <row r="32" spans="1:44">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8"/>
      <c r="AG32" s="25"/>
      <c r="AH32" s="42"/>
      <c r="AI32" s="54"/>
      <c r="AJ32" s="42"/>
      <c r="AK32" s="39"/>
    </row>
    <row r="33" spans="1:44">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8"/>
      <c r="S33" s="53"/>
      <c r="T33" s="53"/>
      <c r="U33" s="53"/>
      <c r="V33" s="8"/>
      <c r="W33" s="8"/>
      <c r="X33" s="8"/>
      <c r="Y33" s="8"/>
      <c r="Z33" s="8"/>
      <c r="AA33" s="8"/>
      <c r="AB33" s="8"/>
      <c r="AC33" s="8"/>
      <c r="AD33" s="8"/>
      <c r="AE33" s="8"/>
      <c r="AF33" s="8"/>
      <c r="AG33" s="25"/>
      <c r="AH33" s="6"/>
      <c r="AI33" s="63"/>
      <c r="AJ33" s="42"/>
      <c r="AK33" s="39"/>
    </row>
    <row r="34" spans="1:44" s="40" customFormat="1" ht="14" customHeight="1">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8"/>
      <c r="AG34" s="25"/>
      <c r="AH34" s="6"/>
      <c r="AI34" s="6"/>
      <c r="AJ34" s="42"/>
      <c r="AK34" s="39"/>
      <c r="AR34" s="41"/>
    </row>
    <row r="35" spans="1:44" s="40" customFormat="1" ht="14" customHeight="1">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8"/>
      <c r="AG35" s="25"/>
      <c r="AH35" s="6"/>
      <c r="AI35" s="6"/>
      <c r="AJ35" s="42"/>
      <c r="AK35" s="39"/>
      <c r="AR35" s="41"/>
    </row>
    <row r="36" spans="1:44" s="40" customFormat="1" ht="14" customHeight="1">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8"/>
      <c r="AG36" s="25"/>
      <c r="AH36" s="6"/>
      <c r="AI36" s="6"/>
      <c r="AJ36" s="42"/>
      <c r="AK36" s="39"/>
      <c r="AR36" s="41"/>
    </row>
    <row r="37" spans="1:44"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8"/>
      <c r="AG37" s="25"/>
      <c r="AH37" s="42"/>
      <c r="AI37" s="42"/>
      <c r="AJ37" s="42"/>
      <c r="AK37" s="39"/>
    </row>
    <row r="38" spans="1:44">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8"/>
      <c r="AG38" s="25"/>
      <c r="AH38" s="42"/>
      <c r="AI38" s="42"/>
      <c r="AJ38" s="42"/>
      <c r="AK38" s="39"/>
    </row>
    <row r="39" spans="1:44">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8"/>
      <c r="AG39" s="25"/>
      <c r="AH39" s="42"/>
      <c r="AI39" s="63"/>
      <c r="AJ39" s="42"/>
      <c r="AK39" s="39"/>
    </row>
    <row r="40" spans="1:44">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8"/>
      <c r="AG40" s="25"/>
      <c r="AH40" s="42"/>
      <c r="AI40" s="63"/>
      <c r="AJ40" s="42"/>
      <c r="AK40" s="39"/>
    </row>
    <row r="41" spans="1:44">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8"/>
      <c r="AG41" s="25"/>
      <c r="AH41" s="42"/>
      <c r="AI41" s="63"/>
      <c r="AJ41" s="42"/>
      <c r="AK41" s="39"/>
    </row>
    <row r="42" spans="1:44">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8"/>
      <c r="AG42" s="25"/>
      <c r="AH42" s="42"/>
      <c r="AI42" s="63"/>
      <c r="AJ42" s="42"/>
      <c r="AK42" s="39"/>
    </row>
    <row r="43" spans="1:44">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8"/>
      <c r="AG43" s="25"/>
      <c r="AH43" s="42"/>
      <c r="AI43" s="54"/>
      <c r="AJ43" s="42"/>
      <c r="AK43" s="39"/>
    </row>
    <row r="44" spans="1:44">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8"/>
      <c r="S44" s="42"/>
      <c r="T44" s="53"/>
      <c r="U44" s="53"/>
      <c r="V44" s="8"/>
      <c r="W44" s="8"/>
      <c r="X44" s="8"/>
      <c r="Y44" s="8"/>
      <c r="Z44" s="8"/>
      <c r="AA44" s="8"/>
      <c r="AB44" s="8"/>
      <c r="AC44" s="8"/>
      <c r="AD44" s="8"/>
      <c r="AE44" s="8"/>
      <c r="AF44" s="8"/>
      <c r="AG44" s="25"/>
      <c r="AH44" s="6"/>
      <c r="AI44" s="63"/>
      <c r="AJ44" s="42"/>
      <c r="AK44" s="39"/>
    </row>
    <row r="45" spans="1:44">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8"/>
      <c r="S45" s="53"/>
      <c r="T45" s="53"/>
      <c r="U45" s="53"/>
      <c r="V45" s="8"/>
      <c r="W45" s="8"/>
      <c r="X45" s="8"/>
      <c r="Y45" s="8"/>
      <c r="Z45" s="8"/>
      <c r="AA45" s="8"/>
      <c r="AB45" s="8"/>
      <c r="AC45" s="8"/>
      <c r="AD45" s="8"/>
      <c r="AE45" s="8"/>
      <c r="AF45" s="8"/>
      <c r="AG45" s="25"/>
      <c r="AH45" s="42"/>
      <c r="AI45" s="63"/>
      <c r="AJ45" s="42"/>
      <c r="AK45" s="39"/>
    </row>
    <row r="46" spans="1:44">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8"/>
      <c r="AG46" s="25"/>
      <c r="AH46" s="42"/>
      <c r="AI46" s="63"/>
      <c r="AJ46" s="42"/>
      <c r="AK46" s="39"/>
    </row>
    <row r="47" spans="1:44">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8"/>
      <c r="AG47" s="25"/>
      <c r="AH47" s="61"/>
      <c r="AI47" s="61"/>
      <c r="AJ47" s="42"/>
      <c r="AK47" s="39"/>
    </row>
    <row r="48" spans="1:44">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8"/>
      <c r="AG48" s="25"/>
      <c r="AH48" s="42"/>
      <c r="AI48" s="54"/>
      <c r="AJ48" s="42"/>
      <c r="AK48" s="39"/>
    </row>
    <row r="49" spans="1:37">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8"/>
      <c r="S49" s="53"/>
      <c r="T49" s="53"/>
      <c r="U49" s="53"/>
      <c r="V49" s="8"/>
      <c r="W49" s="8"/>
      <c r="X49" s="8"/>
      <c r="Y49" s="8"/>
      <c r="Z49" s="8"/>
      <c r="AA49" s="8"/>
      <c r="AB49" s="8"/>
      <c r="AC49" s="8"/>
      <c r="AD49" s="8"/>
      <c r="AE49" s="8"/>
      <c r="AF49" s="8"/>
      <c r="AG49" s="25"/>
      <c r="AH49" s="6"/>
      <c r="AI49" s="63"/>
      <c r="AJ49" s="42"/>
      <c r="AK49" s="39"/>
    </row>
    <row r="50" spans="1:37">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8"/>
      <c r="S50" s="53"/>
      <c r="T50" s="53"/>
      <c r="U50" s="8"/>
      <c r="V50" s="8"/>
      <c r="W50" s="8"/>
      <c r="X50" s="8"/>
      <c r="Y50" s="8"/>
      <c r="Z50" s="8"/>
      <c r="AA50" s="8"/>
      <c r="AB50" s="8"/>
      <c r="AC50" s="8"/>
      <c r="AD50" s="8"/>
      <c r="AE50" s="8"/>
      <c r="AF50" s="8"/>
      <c r="AG50" s="25"/>
      <c r="AH50" s="42"/>
      <c r="AI50" s="63"/>
      <c r="AJ50" s="42"/>
      <c r="AK50" s="39"/>
    </row>
    <row r="51" spans="1:37">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8"/>
      <c r="AG51" s="25"/>
      <c r="AH51" s="6"/>
      <c r="AI51" s="63"/>
      <c r="AJ51" s="42"/>
      <c r="AK51" s="39"/>
    </row>
    <row r="52" spans="1:37">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8"/>
      <c r="AG52" s="25"/>
      <c r="AH52" s="6"/>
      <c r="AI52" s="63"/>
      <c r="AJ52" s="42"/>
      <c r="AK52" s="39"/>
    </row>
    <row r="53" spans="1:37">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8"/>
      <c r="AG53" s="25"/>
      <c r="AH53" s="42"/>
      <c r="AI53" s="54"/>
      <c r="AJ53" s="42"/>
      <c r="AK53" s="39"/>
    </row>
    <row r="54" spans="1:37">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8"/>
      <c r="S54" s="53"/>
      <c r="T54" s="53"/>
      <c r="U54" s="53"/>
      <c r="V54" s="8"/>
      <c r="W54" s="8"/>
      <c r="X54" s="8"/>
      <c r="Y54" s="8"/>
      <c r="Z54" s="8"/>
      <c r="AA54" s="8"/>
      <c r="AB54" s="8"/>
      <c r="AC54" s="8"/>
      <c r="AD54" s="8"/>
      <c r="AE54" s="8"/>
      <c r="AF54" s="8"/>
      <c r="AG54" s="25"/>
      <c r="AH54" s="6"/>
      <c r="AI54" s="63"/>
      <c r="AJ54" s="42"/>
      <c r="AK54" s="39"/>
    </row>
    <row r="55" spans="1:37">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8"/>
      <c r="AG55" s="25"/>
      <c r="AH55" s="42"/>
      <c r="AI55" s="42"/>
      <c r="AJ55" s="42"/>
      <c r="AK55" s="39"/>
    </row>
    <row r="56" spans="1:37">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8"/>
      <c r="S56" s="53"/>
      <c r="T56" s="53"/>
      <c r="U56" s="53"/>
      <c r="V56" s="8"/>
      <c r="W56" s="8"/>
      <c r="X56" s="8"/>
      <c r="Y56" s="8"/>
      <c r="Z56" s="8"/>
      <c r="AA56" s="8"/>
      <c r="AB56" s="8"/>
      <c r="AC56" s="8"/>
      <c r="AD56" s="8"/>
      <c r="AE56" s="8"/>
      <c r="AF56" s="8"/>
      <c r="AG56" s="25"/>
      <c r="AH56" s="42"/>
      <c r="AI56" s="42"/>
      <c r="AJ56" s="42"/>
      <c r="AK56" s="39"/>
    </row>
    <row r="57" spans="1:37">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8"/>
      <c r="AG57" s="25"/>
      <c r="AH57" s="42"/>
      <c r="AI57" s="42"/>
      <c r="AJ57" s="42"/>
      <c r="AK57" s="39"/>
    </row>
    <row r="58" spans="1:37">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8"/>
      <c r="AG58" s="25"/>
      <c r="AH58" s="42"/>
      <c r="AI58" s="63"/>
      <c r="AJ58" s="42"/>
      <c r="AK58" s="39"/>
    </row>
    <row r="59" spans="1:37">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8"/>
      <c r="AG59" s="25"/>
      <c r="AH59" s="42"/>
      <c r="AI59" s="63"/>
      <c r="AJ59" s="42"/>
      <c r="AK59" s="39"/>
    </row>
    <row r="60" spans="1:37">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8"/>
      <c r="AG60" s="25"/>
      <c r="AH60" s="42"/>
      <c r="AI60" s="54"/>
      <c r="AJ60" s="42"/>
      <c r="AK60" s="39"/>
    </row>
    <row r="61" spans="1:37">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8"/>
      <c r="S61" s="53"/>
      <c r="T61" s="53"/>
      <c r="U61" s="53"/>
      <c r="V61" s="8"/>
      <c r="W61" s="8"/>
      <c r="X61" s="8"/>
      <c r="Y61" s="8"/>
      <c r="Z61" s="8"/>
      <c r="AA61" s="8"/>
      <c r="AB61" s="8"/>
      <c r="AC61" s="8"/>
      <c r="AD61" s="8"/>
      <c r="AE61" s="8"/>
      <c r="AF61" s="8"/>
      <c r="AG61" s="25"/>
      <c r="AH61" s="6"/>
      <c r="AI61" s="63"/>
      <c r="AJ61" s="42"/>
      <c r="AK61" s="39"/>
    </row>
    <row r="62" spans="1:37">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8"/>
      <c r="S62" s="53"/>
      <c r="T62" s="53"/>
      <c r="U62" s="53"/>
      <c r="V62" s="8"/>
      <c r="W62" s="8"/>
      <c r="X62" s="8"/>
      <c r="Y62" s="8"/>
      <c r="Z62" s="8"/>
      <c r="AA62" s="8"/>
      <c r="AB62" s="8"/>
      <c r="AC62" s="8"/>
      <c r="AD62" s="8"/>
      <c r="AE62" s="8"/>
      <c r="AF62" s="8"/>
      <c r="AG62" s="25"/>
      <c r="AH62" s="42"/>
      <c r="AI62" s="42"/>
      <c r="AJ62" s="42"/>
      <c r="AK62" s="39"/>
    </row>
    <row r="63" spans="1:37">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8"/>
      <c r="S63" s="53"/>
      <c r="T63" s="53"/>
      <c r="U63" s="8"/>
      <c r="V63" s="8"/>
      <c r="W63" s="8"/>
      <c r="X63" s="8"/>
      <c r="Y63" s="8"/>
      <c r="Z63" s="8"/>
      <c r="AA63" s="8"/>
      <c r="AB63" s="8"/>
      <c r="AC63" s="8"/>
      <c r="AD63" s="8"/>
      <c r="AE63" s="8"/>
      <c r="AF63" s="8"/>
      <c r="AG63" s="25"/>
      <c r="AH63" s="42"/>
      <c r="AI63" s="42"/>
      <c r="AJ63" s="42"/>
      <c r="AK63" s="39"/>
    </row>
    <row r="64" spans="1:37">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8"/>
      <c r="AG64" s="25"/>
      <c r="AH64" s="42"/>
      <c r="AI64" s="42"/>
      <c r="AJ64" s="42"/>
      <c r="AK64" s="39"/>
    </row>
    <row r="65" spans="1:37"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8"/>
      <c r="Y65" s="39"/>
      <c r="Z65" s="39"/>
      <c r="AA65" s="39"/>
      <c r="AB65" s="39"/>
      <c r="AC65" s="39"/>
      <c r="AD65" s="39"/>
      <c r="AE65" s="39"/>
      <c r="AF65" s="39"/>
      <c r="AG65" s="48"/>
      <c r="AH65" s="42"/>
      <c r="AI65" s="6"/>
      <c r="AJ65" s="42"/>
      <c r="AK65" s="39"/>
    </row>
    <row r="66" spans="1:37">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8"/>
      <c r="Y66" s="39"/>
      <c r="Z66" s="39"/>
      <c r="AA66" s="39"/>
      <c r="AB66" s="39"/>
      <c r="AC66" s="39"/>
      <c r="AD66" s="39"/>
      <c r="AE66" s="39"/>
      <c r="AF66" s="39"/>
      <c r="AG66" s="48"/>
      <c r="AH66" s="42"/>
      <c r="AI66" s="6"/>
      <c r="AJ66" s="42"/>
      <c r="AK66" s="39"/>
    </row>
    <row r="67" spans="1:37">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8"/>
      <c r="Y67" s="39"/>
      <c r="Z67" s="39"/>
      <c r="AA67" s="39"/>
      <c r="AB67" s="39"/>
      <c r="AC67" s="39"/>
      <c r="AD67" s="39"/>
      <c r="AE67" s="39"/>
      <c r="AF67" s="39"/>
      <c r="AG67" s="48"/>
      <c r="AH67" s="42"/>
      <c r="AI67" s="6"/>
      <c r="AJ67" s="42"/>
      <c r="AK67" s="39"/>
    </row>
    <row r="68" spans="1:37"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8"/>
      <c r="S68" s="53"/>
      <c r="T68" s="53"/>
      <c r="U68" s="53"/>
      <c r="V68" s="8"/>
      <c r="W68" s="8"/>
      <c r="X68" s="8"/>
      <c r="Y68" s="8"/>
      <c r="Z68" s="8"/>
      <c r="AA68" s="8"/>
      <c r="AB68" s="8"/>
      <c r="AC68" s="8"/>
      <c r="AD68" s="8"/>
      <c r="AE68" s="8"/>
      <c r="AF68" s="8"/>
      <c r="AG68" s="25"/>
      <c r="AH68" s="61"/>
      <c r="AI68" s="42"/>
      <c r="AJ68" s="42"/>
      <c r="AK68" s="39"/>
    </row>
    <row r="69" spans="1:37"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8"/>
      <c r="AG69" s="48"/>
      <c r="AH69" s="42"/>
      <c r="AI69" s="42"/>
      <c r="AJ69" s="42"/>
      <c r="AK69" s="39"/>
    </row>
    <row r="70" spans="1:37">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8"/>
      <c r="S70" s="53"/>
      <c r="T70" s="53"/>
      <c r="U70" s="53"/>
      <c r="V70" s="8"/>
      <c r="W70" s="8"/>
      <c r="X70" s="8"/>
      <c r="Y70" s="8"/>
      <c r="Z70" s="8"/>
      <c r="AA70" s="8"/>
      <c r="AB70" s="8"/>
      <c r="AC70" s="8"/>
      <c r="AD70" s="8"/>
      <c r="AE70" s="8"/>
      <c r="AF70" s="8"/>
      <c r="AG70" s="25"/>
      <c r="AH70" s="42"/>
      <c r="AI70" s="42"/>
      <c r="AJ70" s="42"/>
      <c r="AK70" s="39"/>
    </row>
    <row r="71" spans="1:37">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8"/>
      <c r="AG71" s="25"/>
      <c r="AH71" s="42"/>
      <c r="AI71" s="42"/>
      <c r="AJ71" s="42"/>
      <c r="AK71" s="39"/>
    </row>
    <row r="72" spans="1:37">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8"/>
      <c r="T72" s="6"/>
      <c r="U72" s="8"/>
      <c r="V72" s="65"/>
      <c r="W72" s="8"/>
      <c r="X72" s="8"/>
      <c r="Y72" s="8"/>
      <c r="Z72" s="8"/>
      <c r="AA72" s="8"/>
      <c r="AB72" s="8"/>
      <c r="AC72" s="8"/>
      <c r="AD72" s="8"/>
      <c r="AE72" s="8"/>
      <c r="AF72" s="8"/>
      <c r="AG72" s="25"/>
      <c r="AH72" s="42"/>
      <c r="AI72" s="42"/>
      <c r="AJ72" s="42"/>
      <c r="AK72" s="39"/>
    </row>
    <row r="73" spans="1:37">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8"/>
      <c r="S73" s="42"/>
      <c r="T73" s="6"/>
      <c r="U73" s="8"/>
      <c r="V73" s="65"/>
      <c r="W73" s="8"/>
      <c r="X73" s="8"/>
      <c r="Y73" s="8"/>
      <c r="Z73" s="8"/>
      <c r="AA73" s="8"/>
      <c r="AB73" s="8"/>
      <c r="AC73" s="8"/>
      <c r="AD73" s="8"/>
      <c r="AE73" s="8"/>
      <c r="AF73" s="8"/>
      <c r="AG73" s="25"/>
      <c r="AH73" s="42"/>
      <c r="AI73" s="42"/>
      <c r="AJ73" s="42"/>
      <c r="AK73" s="39"/>
    </row>
    <row r="74" spans="1:37">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59"/>
      <c r="AH74" s="42"/>
      <c r="AI74" s="66"/>
      <c r="AJ74" s="42"/>
      <c r="AK74" s="39"/>
    </row>
    <row r="75" spans="1:37">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8"/>
      <c r="S75" s="53"/>
      <c r="T75" s="53"/>
      <c r="U75" s="53"/>
      <c r="V75" s="8"/>
      <c r="W75" s="8"/>
      <c r="X75" s="8"/>
      <c r="Y75" s="8"/>
      <c r="Z75" s="8"/>
      <c r="AA75" s="8"/>
      <c r="AB75" s="8"/>
      <c r="AC75" s="8"/>
      <c r="AD75" s="8"/>
      <c r="AE75" s="8"/>
      <c r="AF75" s="8"/>
      <c r="AG75" s="25"/>
      <c r="AH75" s="6"/>
      <c r="AI75" s="63"/>
      <c r="AJ75" s="42"/>
      <c r="AK75" s="39"/>
    </row>
    <row r="76" spans="1:37">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8"/>
      <c r="S76" s="53"/>
      <c r="T76" s="53"/>
      <c r="U76" s="53"/>
      <c r="V76" s="65"/>
      <c r="W76" s="65"/>
      <c r="X76" s="65"/>
      <c r="Y76" s="65"/>
      <c r="Z76" s="65"/>
      <c r="AA76" s="65"/>
      <c r="AB76" s="65"/>
      <c r="AC76" s="65"/>
      <c r="AD76" s="65"/>
      <c r="AE76" s="65"/>
      <c r="AF76" s="65"/>
      <c r="AG76" s="59"/>
      <c r="AH76" s="61"/>
      <c r="AI76" s="66"/>
      <c r="AJ76" s="42"/>
      <c r="AK76" s="39"/>
    </row>
    <row r="77" spans="1:37"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8"/>
      <c r="S77" s="53"/>
      <c r="T77" s="53"/>
      <c r="U77" s="53"/>
      <c r="V77" s="8"/>
      <c r="W77" s="8"/>
      <c r="X77" s="8"/>
      <c r="Y77" s="8"/>
      <c r="Z77" s="8"/>
      <c r="AA77" s="8"/>
      <c r="AB77" s="8"/>
      <c r="AC77" s="8"/>
      <c r="AD77" s="8"/>
      <c r="AE77" s="8"/>
      <c r="AF77" s="8"/>
      <c r="AG77" s="25"/>
      <c r="AH77" s="61"/>
      <c r="AI77" s="42"/>
      <c r="AJ77" s="42"/>
      <c r="AK77" s="39"/>
    </row>
    <row r="78" spans="1:37"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25"/>
      <c r="AH78" s="42"/>
      <c r="AI78" s="42"/>
      <c r="AJ78" s="42"/>
      <c r="AK78" s="39"/>
    </row>
    <row r="79" spans="1:37">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59"/>
      <c r="AH79" s="61"/>
      <c r="AI79" s="61"/>
      <c r="AJ79" s="42"/>
      <c r="AK79" s="39"/>
    </row>
    <row r="80" spans="1:37">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59"/>
      <c r="AH80" s="62"/>
      <c r="AI80" s="61"/>
      <c r="AJ80" s="42"/>
      <c r="AK80" s="39"/>
    </row>
    <row r="81" spans="1:37">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59"/>
      <c r="AH81" s="61"/>
      <c r="AI81" s="61"/>
      <c r="AJ81" s="42"/>
      <c r="AK81" s="39"/>
    </row>
    <row r="82" spans="1:37">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59"/>
      <c r="AH82" s="61"/>
      <c r="AI82" s="61"/>
      <c r="AJ82" s="42"/>
      <c r="AK82" s="39"/>
    </row>
    <row r="83" spans="1:37">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65"/>
      <c r="S83" s="8"/>
      <c r="T83" s="8"/>
      <c r="U83" s="8"/>
      <c r="V83" s="8"/>
      <c r="W83" s="8"/>
      <c r="X83" s="8"/>
      <c r="Y83" s="65"/>
      <c r="Z83" s="65"/>
      <c r="AA83" s="65"/>
      <c r="AB83" s="65"/>
      <c r="AC83" s="65"/>
      <c r="AD83" s="65"/>
      <c r="AE83" s="65"/>
      <c r="AF83" s="65"/>
      <c r="AG83" s="59"/>
      <c r="AH83" s="42"/>
      <c r="AI83" s="66"/>
      <c r="AJ83" s="42"/>
      <c r="AK83" s="39"/>
    </row>
    <row r="84" spans="1:37">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8"/>
      <c r="S84" s="53"/>
      <c r="T84" s="53"/>
      <c r="U84" s="53"/>
      <c r="V84" s="8"/>
      <c r="W84" s="8"/>
      <c r="X84" s="8"/>
      <c r="Y84" s="8"/>
      <c r="Z84" s="8"/>
      <c r="AA84" s="8"/>
      <c r="AB84" s="8"/>
      <c r="AC84" s="8"/>
      <c r="AD84" s="8"/>
      <c r="AE84" s="8"/>
      <c r="AF84" s="8"/>
      <c r="AG84" s="25"/>
      <c r="AH84" s="6"/>
      <c r="AI84" s="63"/>
      <c r="AJ84" s="42"/>
      <c r="AK84" s="39"/>
    </row>
    <row r="85" spans="1:37">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8"/>
      <c r="S85" s="53"/>
      <c r="T85" s="53"/>
      <c r="U85" s="53"/>
      <c r="V85" s="8"/>
      <c r="W85" s="8"/>
      <c r="X85" s="8"/>
      <c r="Y85" s="65"/>
      <c r="Z85" s="65"/>
      <c r="AA85" s="65"/>
      <c r="AB85" s="65"/>
      <c r="AC85" s="65"/>
      <c r="AD85" s="65"/>
      <c r="AE85" s="65"/>
      <c r="AF85" s="65"/>
      <c r="AG85" s="59"/>
      <c r="AH85" s="61"/>
      <c r="AI85" s="61"/>
      <c r="AJ85" s="42"/>
      <c r="AK85" s="39"/>
    </row>
    <row r="86" spans="1:37">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8"/>
      <c r="S86" s="53"/>
      <c r="T86" s="53"/>
      <c r="U86" s="53"/>
      <c r="V86" s="8"/>
      <c r="W86" s="8"/>
      <c r="X86" s="8"/>
      <c r="Y86" s="65"/>
      <c r="Z86" s="65"/>
      <c r="AA86" s="65"/>
      <c r="AB86" s="65"/>
      <c r="AC86" s="65"/>
      <c r="AD86" s="65"/>
      <c r="AE86" s="65"/>
      <c r="AF86" s="65"/>
      <c r="AG86" s="59"/>
      <c r="AH86" s="61"/>
      <c r="AI86" s="61"/>
      <c r="AJ86" s="42"/>
      <c r="AK86" s="39"/>
    </row>
    <row r="87" spans="1:37">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8"/>
      <c r="Y87" s="65"/>
      <c r="Z87" s="65"/>
      <c r="AA87" s="65"/>
      <c r="AB87" s="65"/>
      <c r="AC87" s="65"/>
      <c r="AD87" s="65"/>
      <c r="AE87" s="65"/>
      <c r="AF87" s="65"/>
      <c r="AG87" s="59"/>
      <c r="AH87" s="61"/>
      <c r="AI87" s="61"/>
      <c r="AJ87" s="42"/>
      <c r="AK87" s="39"/>
    </row>
    <row r="88" spans="1:37">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8"/>
      <c r="S88" s="53"/>
      <c r="T88" s="53"/>
      <c r="U88" s="53"/>
      <c r="V88" s="8"/>
      <c r="W88" s="8"/>
      <c r="X88" s="8"/>
      <c r="Y88" s="8"/>
      <c r="Z88" s="8"/>
      <c r="AA88" s="8"/>
      <c r="AB88" s="8"/>
      <c r="AC88" s="8"/>
      <c r="AD88" s="8"/>
      <c r="AE88" s="8"/>
      <c r="AF88" s="8"/>
      <c r="AG88" s="25"/>
      <c r="AH88" s="6"/>
      <c r="AI88" s="63"/>
      <c r="AJ88" s="42"/>
      <c r="AK88" s="39"/>
    </row>
    <row r="89" spans="1:37">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8"/>
      <c r="S89" s="53"/>
      <c r="T89" s="53"/>
      <c r="U89" s="8"/>
      <c r="V89" s="8"/>
      <c r="W89" s="8"/>
      <c r="X89" s="8"/>
      <c r="Y89" s="39"/>
      <c r="Z89" s="39"/>
      <c r="AA89" s="39"/>
      <c r="AB89" s="39"/>
      <c r="AC89" s="39"/>
      <c r="AD89" s="39"/>
      <c r="AE89" s="39"/>
      <c r="AF89" s="39"/>
      <c r="AG89" s="48"/>
      <c r="AH89" s="42"/>
      <c r="AI89" s="6"/>
      <c r="AJ89" s="42"/>
      <c r="AK89" s="39"/>
    </row>
    <row r="90" spans="1:37">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8"/>
      <c r="S90" s="42"/>
      <c r="T90" s="53"/>
      <c r="U90" s="42"/>
      <c r="V90" s="8"/>
      <c r="W90" s="8"/>
      <c r="X90" s="8"/>
      <c r="Y90" s="8"/>
      <c r="Z90" s="8"/>
      <c r="AA90" s="8"/>
      <c r="AB90" s="8"/>
      <c r="AC90" s="8"/>
      <c r="AD90" s="8"/>
      <c r="AE90" s="8"/>
      <c r="AF90" s="8"/>
      <c r="AG90" s="25"/>
      <c r="AH90" s="42"/>
      <c r="AI90" s="42"/>
      <c r="AJ90" s="42"/>
      <c r="AK90" s="39"/>
    </row>
    <row r="91" spans="1:37">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39"/>
      <c r="S91" s="8"/>
      <c r="T91" s="8"/>
      <c r="U91" s="39"/>
      <c r="V91" s="8"/>
      <c r="W91" s="8"/>
      <c r="X91" s="8"/>
      <c r="Y91" s="39"/>
      <c r="Z91" s="39"/>
      <c r="AA91" s="39"/>
      <c r="AB91" s="39"/>
      <c r="AC91" s="39"/>
      <c r="AD91" s="39"/>
      <c r="AE91" s="39"/>
      <c r="AF91" s="39"/>
      <c r="AG91" s="48"/>
      <c r="AH91" s="42"/>
      <c r="AI91" s="42"/>
      <c r="AJ91" s="42"/>
      <c r="AK91" s="39"/>
    </row>
    <row r="92" spans="1:37">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8"/>
      <c r="S92" s="53"/>
      <c r="T92" s="53"/>
      <c r="U92" s="39"/>
      <c r="V92" s="8"/>
      <c r="W92" s="8"/>
      <c r="X92" s="8"/>
      <c r="Y92" s="39"/>
      <c r="Z92" s="39"/>
      <c r="AA92" s="39"/>
      <c r="AB92" s="39"/>
      <c r="AC92" s="39"/>
      <c r="AD92" s="39"/>
      <c r="AE92" s="39"/>
      <c r="AF92" s="39"/>
      <c r="AG92" s="48"/>
      <c r="AH92" s="6"/>
      <c r="AI92" s="63"/>
      <c r="AJ92" s="6"/>
      <c r="AK92" s="39"/>
    </row>
    <row r="93" spans="1:37">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8"/>
      <c r="S93" s="53"/>
      <c r="T93" s="53"/>
      <c r="U93" s="39"/>
      <c r="V93" s="8"/>
      <c r="W93" s="8"/>
      <c r="X93" s="8"/>
      <c r="Y93" s="39"/>
      <c r="Z93" s="39"/>
      <c r="AA93" s="39"/>
      <c r="AB93" s="39"/>
      <c r="AC93" s="39"/>
      <c r="AD93" s="39"/>
      <c r="AE93" s="39"/>
      <c r="AF93" s="39"/>
      <c r="AG93" s="48"/>
      <c r="AH93" s="6"/>
      <c r="AI93" s="6"/>
      <c r="AJ93" s="6"/>
      <c r="AK93" s="39"/>
    </row>
    <row r="94" spans="1:37">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8"/>
      <c r="U94" s="39"/>
      <c r="V94" s="8"/>
      <c r="W94" s="8"/>
      <c r="X94" s="8"/>
      <c r="Y94" s="39"/>
      <c r="Z94" s="39"/>
      <c r="AA94" s="39"/>
      <c r="AB94" s="39"/>
      <c r="AC94" s="39"/>
      <c r="AD94" s="39"/>
      <c r="AE94" s="39"/>
      <c r="AF94" s="39"/>
      <c r="AG94" s="48"/>
      <c r="AH94" s="42"/>
      <c r="AI94" s="42"/>
      <c r="AJ94" s="42"/>
      <c r="AK94" s="39"/>
    </row>
    <row r="95" spans="1:37">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8"/>
      <c r="U95" s="39"/>
      <c r="V95" s="8"/>
      <c r="W95" s="8"/>
      <c r="X95" s="8"/>
      <c r="Y95" s="39"/>
      <c r="Z95" s="39"/>
      <c r="AA95" s="39"/>
      <c r="AB95" s="39"/>
      <c r="AC95" s="39"/>
      <c r="AD95" s="39"/>
      <c r="AE95" s="39"/>
      <c r="AF95" s="39"/>
      <c r="AG95" s="48"/>
      <c r="AH95" s="42"/>
      <c r="AI95" s="42"/>
      <c r="AJ95" s="42"/>
      <c r="AK95" s="39"/>
    </row>
    <row r="96" spans="1:37">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8"/>
      <c r="AG96" s="25"/>
      <c r="AH96" s="42"/>
      <c r="AI96" s="42"/>
      <c r="AJ96" s="42"/>
      <c r="AK96" s="39"/>
    </row>
    <row r="97" spans="1:37"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8"/>
      <c r="Y97" s="39"/>
      <c r="Z97" s="39"/>
      <c r="AA97" s="39"/>
      <c r="AB97" s="39"/>
      <c r="AC97" s="39"/>
      <c r="AD97" s="39"/>
      <c r="AE97" s="39"/>
      <c r="AF97" s="39"/>
      <c r="AG97" s="48"/>
      <c r="AH97" s="42"/>
      <c r="AI97" s="6"/>
      <c r="AJ97" s="42"/>
      <c r="AK97" s="39"/>
    </row>
    <row r="98" spans="1:37">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8"/>
      <c r="AG98" s="25"/>
      <c r="AH98" s="42"/>
      <c r="AI98" s="6"/>
      <c r="AJ98" s="42"/>
      <c r="AK98" s="39"/>
    </row>
    <row r="99" spans="1:37">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39"/>
      <c r="S99" s="8"/>
      <c r="T99" s="8"/>
      <c r="U99" s="39"/>
      <c r="V99" s="8"/>
      <c r="W99" s="8"/>
      <c r="X99" s="8"/>
      <c r="Y99" s="39"/>
      <c r="Z99" s="39"/>
      <c r="AA99" s="39"/>
      <c r="AB99" s="39"/>
      <c r="AC99" s="39"/>
      <c r="AD99" s="39"/>
      <c r="AE99" s="39"/>
      <c r="AF99" s="39"/>
      <c r="AG99" s="48"/>
      <c r="AH99" s="42"/>
      <c r="AI99" s="42"/>
      <c r="AJ99" s="42"/>
      <c r="AK99" s="39"/>
    </row>
    <row r="100" spans="1:37">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39"/>
      <c r="S100" s="8"/>
      <c r="T100" s="8"/>
      <c r="U100" s="39"/>
      <c r="V100" s="8"/>
      <c r="W100" s="8"/>
      <c r="X100" s="8"/>
      <c r="Y100" s="39"/>
      <c r="Z100" s="39"/>
      <c r="AA100" s="39"/>
      <c r="AB100" s="39"/>
      <c r="AC100" s="39"/>
      <c r="AD100" s="39"/>
      <c r="AE100" s="39"/>
      <c r="AF100" s="39"/>
      <c r="AG100" s="48"/>
      <c r="AH100" s="42"/>
      <c r="AI100" s="42"/>
      <c r="AJ100" s="42"/>
      <c r="AK100" s="39"/>
    </row>
    <row r="101" spans="1:37">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39"/>
      <c r="S101" s="8"/>
      <c r="T101" s="8"/>
      <c r="U101" s="39"/>
      <c r="V101" s="8"/>
      <c r="W101" s="8"/>
      <c r="X101" s="8"/>
      <c r="Y101" s="39"/>
      <c r="Z101" s="39"/>
      <c r="AA101" s="39"/>
      <c r="AB101" s="39"/>
      <c r="AC101" s="39"/>
      <c r="AD101" s="39"/>
      <c r="AE101" s="39"/>
      <c r="AF101" s="39"/>
      <c r="AG101" s="48"/>
      <c r="AH101" s="42"/>
      <c r="AI101" s="42"/>
      <c r="AJ101" s="42"/>
      <c r="AK101" s="39"/>
    </row>
    <row r="102" spans="1:37">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39"/>
      <c r="S102" s="8"/>
      <c r="T102" s="8"/>
      <c r="U102" s="39"/>
      <c r="V102" s="8"/>
      <c r="W102" s="8"/>
      <c r="X102" s="8"/>
      <c r="Y102" s="39"/>
      <c r="Z102" s="39"/>
      <c r="AA102" s="39"/>
      <c r="AB102" s="39"/>
      <c r="AC102" s="39"/>
      <c r="AD102" s="39"/>
      <c r="AE102" s="39"/>
      <c r="AF102" s="39"/>
      <c r="AG102" s="48"/>
      <c r="AH102" s="42"/>
      <c r="AI102" s="42"/>
      <c r="AJ102" s="42"/>
      <c r="AK102" s="39"/>
    </row>
    <row r="103" spans="1:37">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39"/>
      <c r="S103" s="8"/>
      <c r="T103" s="8"/>
      <c r="U103" s="39"/>
      <c r="V103" s="8"/>
      <c r="W103" s="8"/>
      <c r="X103" s="8"/>
      <c r="Y103" s="39"/>
      <c r="Z103" s="39"/>
      <c r="AA103" s="39"/>
      <c r="AB103" s="39"/>
      <c r="AC103" s="39"/>
      <c r="AD103" s="39"/>
      <c r="AE103" s="39"/>
      <c r="AF103" s="39"/>
      <c r="AG103" s="48"/>
      <c r="AH103" s="42"/>
      <c r="AI103" s="42"/>
      <c r="AJ103" s="42"/>
      <c r="AK103" s="39"/>
    </row>
    <row r="104" spans="1:37">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39"/>
      <c r="S104" s="8"/>
      <c r="T104" s="8"/>
      <c r="U104" s="39"/>
      <c r="V104" s="8"/>
      <c r="W104" s="8"/>
      <c r="X104" s="8"/>
      <c r="Y104" s="39"/>
      <c r="Z104" s="39"/>
      <c r="AA104" s="39"/>
      <c r="AB104" s="39"/>
      <c r="AC104" s="39"/>
      <c r="AD104" s="39"/>
      <c r="AE104" s="39"/>
      <c r="AF104" s="39"/>
      <c r="AG104" s="48"/>
      <c r="AH104" s="42"/>
      <c r="AI104" s="42"/>
      <c r="AJ104" s="42"/>
      <c r="AK104" s="39"/>
    </row>
    <row r="105" spans="1:37">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39"/>
      <c r="S105" s="8"/>
      <c r="T105" s="8"/>
      <c r="U105" s="39"/>
      <c r="V105" s="8"/>
      <c r="W105" s="8"/>
      <c r="X105" s="8"/>
      <c r="Y105" s="39"/>
      <c r="Z105" s="39"/>
      <c r="AA105" s="39"/>
      <c r="AB105" s="39"/>
      <c r="AC105" s="39"/>
      <c r="AD105" s="39"/>
      <c r="AE105" s="39"/>
      <c r="AF105" s="39"/>
      <c r="AG105" s="48"/>
      <c r="AH105" s="42"/>
      <c r="AI105" s="6"/>
      <c r="AJ105" s="42"/>
      <c r="AK105" s="39"/>
    </row>
    <row r="106" spans="1:37">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39"/>
      <c r="S106" s="8"/>
      <c r="T106" s="8"/>
      <c r="U106" s="39"/>
      <c r="V106" s="8"/>
      <c r="W106" s="8"/>
      <c r="X106" s="8"/>
      <c r="Y106" s="39"/>
      <c r="Z106" s="39"/>
      <c r="AA106" s="39"/>
      <c r="AB106" s="39"/>
      <c r="AC106" s="39"/>
      <c r="AD106" s="39"/>
      <c r="AE106" s="39"/>
      <c r="AF106" s="39"/>
      <c r="AG106" s="48"/>
      <c r="AH106" s="42"/>
      <c r="AI106" s="42"/>
      <c r="AJ106" s="42"/>
      <c r="AK106" s="39"/>
    </row>
    <row r="107" spans="1:37">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39"/>
      <c r="S107" s="8"/>
      <c r="T107" s="8"/>
      <c r="U107" s="39"/>
      <c r="V107" s="8"/>
      <c r="W107" s="8"/>
      <c r="X107" s="8"/>
      <c r="Y107" s="39"/>
      <c r="Z107" s="39"/>
      <c r="AA107" s="39"/>
      <c r="AB107" s="39"/>
      <c r="AC107" s="39"/>
      <c r="AD107" s="39"/>
      <c r="AE107" s="39"/>
      <c r="AF107" s="39"/>
      <c r="AG107" s="48"/>
      <c r="AH107" s="42"/>
      <c r="AI107" s="42"/>
      <c r="AJ107" s="42"/>
      <c r="AK107" s="39"/>
    </row>
    <row r="108" spans="1:37">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39"/>
      <c r="S108" s="8"/>
      <c r="T108" s="8"/>
      <c r="U108" s="39"/>
      <c r="V108" s="8"/>
      <c r="W108" s="8"/>
      <c r="X108" s="8"/>
      <c r="Y108" s="39"/>
      <c r="Z108" s="39"/>
      <c r="AA108" s="39"/>
      <c r="AB108" s="39"/>
      <c r="AC108" s="39"/>
      <c r="AD108" s="39"/>
      <c r="AE108" s="39"/>
      <c r="AF108" s="39"/>
      <c r="AG108" s="48"/>
      <c r="AH108" s="42"/>
      <c r="AI108" s="42"/>
      <c r="AJ108" s="42"/>
      <c r="AK108" s="39"/>
    </row>
    <row r="109" spans="1:37">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39"/>
      <c r="S109" s="8"/>
      <c r="T109" s="8"/>
      <c r="U109" s="39"/>
      <c r="V109" s="8"/>
      <c r="W109" s="8"/>
      <c r="X109" s="8"/>
      <c r="Y109" s="39"/>
      <c r="Z109" s="39"/>
      <c r="AA109" s="39"/>
      <c r="AB109" s="39"/>
      <c r="AC109" s="39"/>
      <c r="AD109" s="39"/>
      <c r="AE109" s="39"/>
      <c r="AF109" s="39"/>
      <c r="AG109" s="48"/>
      <c r="AH109" s="42"/>
      <c r="AI109" s="42"/>
      <c r="AJ109" s="42"/>
      <c r="AK109" s="39"/>
    </row>
    <row r="110" spans="1:37">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39"/>
      <c r="S110" s="8"/>
      <c r="T110" s="8"/>
      <c r="U110" s="39"/>
      <c r="V110" s="8"/>
      <c r="W110" s="8"/>
      <c r="X110" s="8"/>
      <c r="Y110" s="39"/>
      <c r="Z110" s="39"/>
      <c r="AA110" s="39"/>
      <c r="AB110" s="39"/>
      <c r="AC110" s="39"/>
      <c r="AD110" s="39"/>
      <c r="AE110" s="39"/>
      <c r="AF110" s="39"/>
      <c r="AG110" s="48"/>
      <c r="AH110" s="42"/>
      <c r="AI110" s="42"/>
      <c r="AJ110" s="42"/>
      <c r="AK110" s="39"/>
    </row>
    <row r="111" spans="1:37">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39"/>
      <c r="S111" s="8"/>
      <c r="T111" s="8"/>
      <c r="U111" s="39"/>
      <c r="V111" s="8"/>
      <c r="W111" s="8"/>
      <c r="X111" s="8"/>
      <c r="Y111" s="39"/>
      <c r="Z111" s="39"/>
      <c r="AA111" s="39"/>
      <c r="AB111" s="39"/>
      <c r="AC111" s="39"/>
      <c r="AD111" s="39"/>
      <c r="AE111" s="39"/>
      <c r="AF111" s="39"/>
      <c r="AG111" s="48"/>
      <c r="AH111" s="42"/>
      <c r="AI111" s="42"/>
      <c r="AJ111" s="42"/>
      <c r="AK111" s="39"/>
    </row>
    <row r="112" spans="1:37">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39"/>
      <c r="S112" s="8"/>
      <c r="T112" s="8"/>
      <c r="U112" s="39"/>
      <c r="V112" s="8"/>
      <c r="W112" s="8"/>
      <c r="X112" s="8"/>
      <c r="Y112" s="39"/>
      <c r="Z112" s="39"/>
      <c r="AA112" s="39"/>
      <c r="AB112" s="39"/>
      <c r="AC112" s="39"/>
      <c r="AD112" s="39"/>
      <c r="AE112" s="39"/>
      <c r="AF112" s="39"/>
      <c r="AG112" s="48"/>
      <c r="AH112" s="42"/>
      <c r="AI112" s="42"/>
      <c r="AJ112" s="42"/>
      <c r="AK112" s="39"/>
    </row>
    <row r="113" spans="1:37">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39"/>
      <c r="S113" s="8"/>
      <c r="T113" s="8"/>
      <c r="U113" s="39"/>
      <c r="V113" s="8"/>
      <c r="W113" s="8"/>
      <c r="X113" s="8"/>
      <c r="Y113" s="39"/>
      <c r="Z113" s="39"/>
      <c r="AA113" s="39"/>
      <c r="AB113" s="39"/>
      <c r="AC113" s="39"/>
      <c r="AD113" s="39"/>
      <c r="AE113" s="39"/>
      <c r="AF113" s="39"/>
      <c r="AG113" s="48"/>
      <c r="AH113" s="42"/>
      <c r="AI113" s="42"/>
      <c r="AJ113" s="42"/>
      <c r="AK113" s="39"/>
    </row>
    <row r="114" spans="1:37">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39"/>
      <c r="S114" s="8"/>
      <c r="T114" s="8"/>
      <c r="U114" s="39"/>
      <c r="V114" s="8"/>
      <c r="W114" s="8"/>
      <c r="X114" s="8"/>
      <c r="Y114" s="39"/>
      <c r="Z114" s="39"/>
      <c r="AA114" s="39"/>
      <c r="AB114" s="39"/>
      <c r="AC114" s="39"/>
      <c r="AD114" s="39"/>
      <c r="AE114" s="39"/>
      <c r="AF114" s="39"/>
      <c r="AG114" s="48"/>
      <c r="AH114" s="42"/>
      <c r="AI114" s="42"/>
      <c r="AJ114" s="42"/>
      <c r="AK114" s="39"/>
    </row>
    <row r="115" spans="1:37">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39"/>
      <c r="S115" s="8"/>
      <c r="T115" s="8"/>
      <c r="U115" s="39"/>
      <c r="V115" s="8"/>
      <c r="W115" s="8"/>
      <c r="X115" s="8"/>
      <c r="Y115" s="39"/>
      <c r="Z115" s="39"/>
      <c r="AA115" s="39"/>
      <c r="AB115" s="39"/>
      <c r="AC115" s="39"/>
      <c r="AD115" s="39"/>
      <c r="AE115" s="39"/>
      <c r="AF115" s="39"/>
      <c r="AG115" s="48"/>
      <c r="AH115" s="42"/>
      <c r="AI115" s="42"/>
      <c r="AJ115" s="42"/>
      <c r="AK115" s="39"/>
    </row>
    <row r="116" spans="1:37">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39"/>
      <c r="S116" s="8"/>
      <c r="T116" s="8"/>
      <c r="U116" s="39"/>
      <c r="V116" s="8"/>
      <c r="W116" s="8"/>
      <c r="X116" s="8"/>
      <c r="Y116" s="39"/>
      <c r="Z116" s="39"/>
      <c r="AA116" s="39"/>
      <c r="AB116" s="39"/>
      <c r="AC116" s="39"/>
      <c r="AD116" s="39"/>
      <c r="AE116" s="39"/>
      <c r="AF116" s="39"/>
      <c r="AG116" s="48"/>
      <c r="AH116" s="42"/>
      <c r="AI116" s="42"/>
      <c r="AJ116" s="42"/>
      <c r="AK116" s="39"/>
    </row>
    <row r="117" spans="1:37">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39"/>
      <c r="S117" s="8"/>
      <c r="T117" s="8"/>
      <c r="U117" s="39"/>
      <c r="V117" s="8"/>
      <c r="W117" s="8"/>
      <c r="X117" s="8"/>
      <c r="Y117" s="39"/>
      <c r="Z117" s="39"/>
      <c r="AA117" s="39"/>
      <c r="AB117" s="39"/>
      <c r="AC117" s="39"/>
      <c r="AD117" s="39"/>
      <c r="AE117" s="39"/>
      <c r="AF117" s="39"/>
      <c r="AG117" s="48"/>
      <c r="AH117" s="42"/>
      <c r="AI117" s="42"/>
      <c r="AJ117" s="42"/>
      <c r="AK117" s="39"/>
    </row>
    <row r="118" spans="1:37">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39"/>
      <c r="S118" s="8"/>
      <c r="T118" s="8"/>
      <c r="U118" s="39"/>
      <c r="V118" s="8"/>
      <c r="W118" s="8"/>
      <c r="X118" s="8"/>
      <c r="Y118" s="39"/>
      <c r="Z118" s="39"/>
      <c r="AA118" s="39"/>
      <c r="AB118" s="39"/>
      <c r="AC118" s="39"/>
      <c r="AD118" s="39"/>
      <c r="AE118" s="39"/>
      <c r="AF118" s="39"/>
      <c r="AG118" s="48"/>
      <c r="AH118" s="42"/>
      <c r="AI118" s="6"/>
      <c r="AJ118" s="42"/>
      <c r="AK118" s="39"/>
    </row>
    <row r="119" spans="1:37">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39"/>
      <c r="S119" s="8"/>
      <c r="T119" s="8"/>
      <c r="U119" s="39"/>
      <c r="V119" s="8"/>
      <c r="W119" s="8"/>
      <c r="X119" s="8"/>
      <c r="Y119" s="39"/>
      <c r="Z119" s="39"/>
      <c r="AA119" s="39"/>
      <c r="AB119" s="39"/>
      <c r="AC119" s="39"/>
      <c r="AD119" s="39"/>
      <c r="AE119" s="39"/>
      <c r="AF119" s="39"/>
      <c r="AG119" s="48"/>
      <c r="AH119" s="42"/>
      <c r="AI119" s="42"/>
      <c r="AJ119" s="42"/>
      <c r="AK119" s="39"/>
    </row>
  </sheetData>
  <dataValidations count="4">
    <dataValidation type="list" allowBlank="1" showInputMessage="1" showErrorMessage="1" sqref="O6:O119" xr:uid="{00000000-0002-0000-0700-000000000000}">
      <formula1>"@ManyToOne,@OneToOne"</formula1>
    </dataValidation>
    <dataValidation type="list" allowBlank="1" showInputMessage="1" showErrorMessage="1" sqref="P6:P119" xr:uid="{00000000-0002-0000-0700-000001000000}">
      <formula1>"unidirectional,bidirectional"</formula1>
    </dataValidation>
    <dataValidation type="list" allowBlank="1" showInputMessage="1" showErrorMessage="1" sqref="E6:M119 V6:V119" xr:uid="{00000000-0002-0000-0700-000002000000}">
      <formula1>"○"</formula1>
    </dataValidation>
    <dataValidation type="list" allowBlank="1" showInputMessage="1" showErrorMessage="1" sqref="N6:N119" xr:uid="{00000000-0002-0000-0700-000003000000}">
      <formula1>"CB,CD,LB,LD"</formula1>
    </dataValidation>
  </dataValidations>
  <pageMargins left="0.7" right="0.7" top="0.75" bottom="0.75" header="0.3" footer="0.3"/>
  <pageSetup paperSize="9" scale="41"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3"/>
  <sheetViews>
    <sheetView topLeftCell="F1" zoomScaleNormal="100" zoomScaleSheetLayoutView="80" workbookViewId="0">
      <pane ySplit="5" topLeftCell="A6" activePane="bottomLeft" state="frozen"/>
      <selection activeCell="I9" sqref="I9"/>
      <selection pane="bottomLeft" activeCell="R11" sqref="R11"/>
    </sheetView>
  </sheetViews>
  <sheetFormatPr baseColWidth="10" defaultColWidth="8.83203125"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bestFit="1" customWidth="1" outlineLevel="1"/>
    <col min="23" max="24" width="9.1640625" style="37" hidden="1" customWidth="1" outlineLevel="2"/>
    <col min="25" max="25" width="9.33203125" style="37" hidden="1" customWidth="1" outlineLevel="2"/>
    <col min="26" max="26" width="37.5" style="35" hidden="1" customWidth="1" outlineLevel="2"/>
    <col min="27" max="32" width="19.33203125" style="38" hidden="1" customWidth="1" outlineLevel="2"/>
    <col min="33" max="33" width="19.33203125" style="38" customWidth="1" outlineLevel="1" collapsed="1"/>
    <col min="34" max="37" width="19.33203125" style="38" customWidth="1"/>
  </cols>
  <sheetData>
    <row r="1" spans="1:37">
      <c r="A1" s="7" t="s">
        <v>276</v>
      </c>
    </row>
    <row r="2" spans="1:37" ht="16" customHeight="1">
      <c r="AH2" s="72" t="s">
        <v>1</v>
      </c>
      <c r="AI2" s="72" t="s">
        <v>2</v>
      </c>
      <c r="AJ2" s="72" t="s">
        <v>3</v>
      </c>
      <c r="AK2" s="72" t="s">
        <v>4</v>
      </c>
    </row>
    <row r="3" spans="1:37">
      <c r="A3" s="52"/>
      <c r="AH3" s="32" t="str">
        <f>IF(各種設定!$G$11=0,"",各種設定!$G$11)</f>
        <v/>
      </c>
      <c r="AI3" s="32" t="str">
        <f>IF(各種設定!$G$12=0,"",各種設定!$G$12)</f>
        <v/>
      </c>
      <c r="AJ3" s="32" t="str">
        <f>IF(各種設定!$G$13=0,"",各種設定!$G$13)</f>
        <v/>
      </c>
      <c r="AK3" s="32" t="str">
        <f>IF(各種設定!$G$14=0,"",各種設定!$G$14)</f>
        <v/>
      </c>
    </row>
    <row r="4" spans="1:37">
      <c r="A4" s="34"/>
    </row>
    <row r="5" spans="1:37" s="1" customFormat="1" ht="43" customHeight="1">
      <c r="A5" s="103"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109" t="s">
        <v>27</v>
      </c>
      <c r="X5" s="109" t="s">
        <v>28</v>
      </c>
      <c r="Y5" s="109" t="s">
        <v>29</v>
      </c>
      <c r="Z5" s="109" t="s">
        <v>30</v>
      </c>
      <c r="AA5" s="109" t="s">
        <v>31</v>
      </c>
      <c r="AB5" s="109" t="s">
        <v>32</v>
      </c>
      <c r="AC5" s="109" t="s">
        <v>33</v>
      </c>
      <c r="AD5" s="109" t="s">
        <v>34</v>
      </c>
      <c r="AE5" s="109" t="s">
        <v>35</v>
      </c>
      <c r="AF5" s="109" t="s">
        <v>36</v>
      </c>
      <c r="AG5" s="75" t="s">
        <v>37</v>
      </c>
      <c r="AH5" s="74" t="s">
        <v>38</v>
      </c>
      <c r="AI5" s="76" t="s">
        <v>39</v>
      </c>
      <c r="AJ5" s="76" t="s">
        <v>40</v>
      </c>
      <c r="AK5" s="76" t="s">
        <v>41</v>
      </c>
    </row>
    <row r="6" spans="1:37" s="1" customFormat="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8"/>
      <c r="S6" s="86"/>
      <c r="T6" s="86"/>
      <c r="U6" s="57"/>
      <c r="V6" s="92"/>
      <c r="W6" s="91"/>
      <c r="X6" s="91"/>
      <c r="Y6" s="91"/>
      <c r="Z6" s="91"/>
      <c r="AA6" s="91"/>
      <c r="AB6" s="91"/>
      <c r="AC6" s="91"/>
      <c r="AD6" s="91"/>
      <c r="AE6" s="91"/>
      <c r="AF6" s="91"/>
      <c r="AG6" s="104"/>
      <c r="AH6" s="81"/>
      <c r="AI6" s="54"/>
      <c r="AJ6" s="42"/>
      <c r="AK6" s="39"/>
    </row>
    <row r="7" spans="1:37" s="1" customFormat="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47"/>
      <c r="S7" s="57"/>
      <c r="T7" s="57"/>
      <c r="U7" s="57"/>
      <c r="V7" s="92"/>
      <c r="W7" s="57"/>
      <c r="X7" s="57"/>
      <c r="Y7" s="57"/>
      <c r="Z7" s="57"/>
      <c r="AA7" s="57"/>
      <c r="AB7" s="57"/>
      <c r="AC7" s="57"/>
      <c r="AD7" s="57"/>
      <c r="AE7" s="57"/>
      <c r="AF7" s="57"/>
      <c r="AG7" s="105"/>
      <c r="AH7" s="90"/>
      <c r="AI7" s="54"/>
      <c r="AJ7" s="42"/>
      <c r="AK7" s="39"/>
    </row>
    <row r="8" spans="1:37" s="1" customFormat="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88"/>
      <c r="S8" s="96"/>
      <c r="T8" s="96"/>
      <c r="U8" s="106"/>
      <c r="V8" s="92"/>
      <c r="W8" s="101"/>
      <c r="X8" s="101"/>
      <c r="Y8" s="101"/>
      <c r="Z8" s="101"/>
      <c r="AA8" s="101"/>
      <c r="AB8" s="101"/>
      <c r="AC8" s="101"/>
      <c r="AD8" s="101"/>
      <c r="AE8" s="101"/>
      <c r="AF8" s="101"/>
      <c r="AG8" s="107"/>
      <c r="AH8" s="81"/>
      <c r="AI8" s="54"/>
      <c r="AJ8" s="42"/>
      <c r="AK8" s="39"/>
    </row>
    <row r="9" spans="1:37">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47"/>
      <c r="V9" s="92"/>
      <c r="W9" s="47"/>
      <c r="X9" s="47"/>
      <c r="Y9" s="47"/>
      <c r="Z9" s="47"/>
      <c r="AA9" s="47"/>
      <c r="AB9" s="47"/>
      <c r="AC9" s="47"/>
      <c r="AD9" s="47"/>
      <c r="AE9" s="47"/>
      <c r="AF9" s="47"/>
      <c r="AG9" s="108"/>
      <c r="AH9" s="98"/>
      <c r="AI9" s="122"/>
      <c r="AJ9" s="42"/>
      <c r="AK9" s="39"/>
    </row>
    <row r="10" spans="1:37">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88"/>
      <c r="U10" s="47"/>
      <c r="V10" s="92"/>
      <c r="W10" s="47"/>
      <c r="X10" s="47"/>
      <c r="Y10" s="47"/>
      <c r="Z10" s="47"/>
      <c r="AA10" s="47"/>
      <c r="AB10" s="47"/>
      <c r="AC10" s="47"/>
      <c r="AD10" s="47"/>
      <c r="AE10" s="47"/>
      <c r="AF10" s="47"/>
      <c r="AG10" s="108"/>
      <c r="AH10" s="95"/>
      <c r="AI10" s="122"/>
      <c r="AJ10" s="42"/>
      <c r="AK10" s="39"/>
    </row>
    <row r="11" spans="1:37">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47"/>
      <c r="V11" s="92"/>
      <c r="W11" s="47"/>
      <c r="X11" s="47"/>
      <c r="Y11" s="47"/>
      <c r="Z11" s="47"/>
      <c r="AA11" s="47"/>
      <c r="AB11" s="47"/>
      <c r="AC11" s="47"/>
      <c r="AD11" s="47"/>
      <c r="AE11" s="47"/>
      <c r="AF11" s="47"/>
      <c r="AG11" s="108"/>
      <c r="AH11" s="98"/>
      <c r="AI11" s="122"/>
      <c r="AJ11" s="42"/>
      <c r="AK11" s="39"/>
    </row>
    <row r="12" spans="1:37">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88"/>
      <c r="U12" s="47"/>
      <c r="V12" s="92"/>
      <c r="W12" s="47"/>
      <c r="X12" s="47"/>
      <c r="Y12" s="47"/>
      <c r="Z12" s="47"/>
      <c r="AA12" s="47"/>
      <c r="AB12" s="47"/>
      <c r="AC12" s="47"/>
      <c r="AD12" s="47"/>
      <c r="AE12" s="47"/>
      <c r="AF12" s="47"/>
      <c r="AG12" s="108"/>
      <c r="AH12" s="95"/>
      <c r="AI12" s="122"/>
      <c r="AJ12" s="42"/>
      <c r="AK12" s="39"/>
    </row>
    <row r="13" spans="1:37">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47"/>
      <c r="V13" s="92"/>
      <c r="W13" s="47"/>
      <c r="X13" s="47"/>
      <c r="Y13" s="47"/>
      <c r="Z13" s="47"/>
      <c r="AA13" s="47"/>
      <c r="AB13" s="47"/>
      <c r="AC13" s="47"/>
      <c r="AD13" s="47"/>
      <c r="AE13" s="47"/>
      <c r="AF13" s="47"/>
      <c r="AG13" s="108"/>
      <c r="AH13" s="98"/>
      <c r="AI13" s="51"/>
      <c r="AJ13" s="42"/>
      <c r="AK13" s="39"/>
    </row>
  </sheetData>
  <dataValidations count="4">
    <dataValidation type="list" allowBlank="1" showInputMessage="1" showErrorMessage="1" sqref="V6:V13 E6:M13" xr:uid="{00000000-0002-0000-0800-000000000000}">
      <formula1>"○"</formula1>
    </dataValidation>
    <dataValidation type="list" allowBlank="1" showInputMessage="1" showErrorMessage="1" sqref="N6:N13" xr:uid="{00000000-0002-0000-0800-000001000000}">
      <formula1>"CB,CD,LB,LD"</formula1>
    </dataValidation>
    <dataValidation type="list" allowBlank="1" showInputMessage="1" showErrorMessage="1" sqref="O6:O13" xr:uid="{00000000-0002-0000-0800-000002000000}">
      <formula1>"@ManyToOne,@OneToOne"</formula1>
    </dataValidation>
    <dataValidation type="list" allowBlank="1" showInputMessage="1" showErrorMessage="1" sqref="P6:P13" xr:uid="{00000000-0002-0000-0800-000003000000}">
      <formula1>"unidirectional,bidirectional"</formula1>
    </dataValidation>
  </dataValidations>
  <pageMargins left="0.7" right="0.7" top="0.75" bottom="0.75" header="0.3" footer="0.3"/>
  <pageSetup paperSize="9" scale="41"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C32" sqref="C32"/>
    </sheetView>
  </sheetViews>
  <sheetFormatPr baseColWidth="10" defaultRowHeight="15"/>
  <cols>
    <col min="1" max="1" width="39.1640625" bestFit="1" customWidth="1"/>
    <col min="2" max="2" width="31" bestFit="1" customWidth="1"/>
    <col min="3" max="4" width="31" customWidth="1"/>
    <col min="5" max="5" width="26.33203125" bestFit="1" customWidth="1"/>
  </cols>
  <sheetData>
    <row r="1" spans="1:5">
      <c r="A1" s="7" t="s">
        <v>277</v>
      </c>
    </row>
    <row r="2" spans="1:5" ht="16" customHeight="1">
      <c r="B2" s="72" t="s">
        <v>1</v>
      </c>
      <c r="C2" s="72" t="s">
        <v>2</v>
      </c>
      <c r="D2" s="72" t="s">
        <v>3</v>
      </c>
      <c r="E2" s="72" t="s">
        <v>4</v>
      </c>
    </row>
    <row r="3" spans="1:5">
      <c r="B3" s="32" t="str">
        <f>IF(各種設定!$G$11=0,"",各種設定!$G$11)</f>
        <v/>
      </c>
      <c r="C3" s="32" t="str">
        <f>IF(各種設定!$G$12=0,"",各種設定!$G$12)</f>
        <v/>
      </c>
      <c r="D3" s="32" t="str">
        <f>IF(各種設定!$G$13=0,"",各種設定!$G$13)</f>
        <v/>
      </c>
      <c r="E3" s="32" t="str">
        <f>IF(各種設定!$G$14=0,"",各種設定!$G$14)</f>
        <v/>
      </c>
    </row>
    <row r="5" spans="1:5">
      <c r="A5" s="112" t="s">
        <v>5</v>
      </c>
      <c r="B5" s="113" t="s">
        <v>278</v>
      </c>
      <c r="C5" s="114" t="s">
        <v>279</v>
      </c>
      <c r="D5" s="114" t="s">
        <v>280</v>
      </c>
      <c r="E5" s="114" t="s">
        <v>281</v>
      </c>
    </row>
    <row r="6" spans="1:5">
      <c r="A6" s="115" t="e" vm="1">
        <f t="array" ref="A6:A22">_xlfn.UNIQUE(_xlfn._xlws.FILTER(テーブル7[テーブル名], テーブル7[テーブル名]&lt;&gt;""))</f>
        <v>#VALUE!</v>
      </c>
      <c r="B6" s="116"/>
      <c r="C6" s="116"/>
      <c r="D6" s="116"/>
      <c r="E6" s="117"/>
    </row>
    <row r="7" spans="1:5">
      <c r="A7" s="118" t="e" vm="1">
        <v>#VALUE!</v>
      </c>
      <c r="B7" s="119"/>
      <c r="C7" s="119"/>
      <c r="D7" s="119"/>
      <c r="E7" s="120"/>
    </row>
    <row r="8" spans="1:5">
      <c r="A8" s="115" t="e" vm="1">
        <v>#VALUE!</v>
      </c>
      <c r="B8" s="116"/>
      <c r="C8" s="116"/>
      <c r="D8" s="116"/>
      <c r="E8" s="117"/>
    </row>
    <row r="9" spans="1:5">
      <c r="A9" s="118" t="e" vm="1">
        <v>#VALUE!</v>
      </c>
      <c r="B9" s="119"/>
      <c r="C9" s="119"/>
      <c r="D9" s="119"/>
      <c r="E9" s="120"/>
    </row>
    <row r="10" spans="1:5">
      <c r="A10" s="115" t="e" vm="1">
        <v>#VALUE!</v>
      </c>
      <c r="B10" s="116"/>
      <c r="C10" s="116"/>
      <c r="D10" s="116"/>
      <c r="E10" s="117"/>
    </row>
    <row r="11" spans="1:5">
      <c r="A11" s="118" t="e" vm="1">
        <v>#VALUE!</v>
      </c>
      <c r="B11" s="119"/>
      <c r="C11" s="119"/>
      <c r="D11" s="119"/>
      <c r="E11" s="120"/>
    </row>
    <row r="12" spans="1:5">
      <c r="A12" s="115" t="e" vm="1">
        <v>#VALUE!</v>
      </c>
      <c r="B12" s="116"/>
      <c r="C12" s="116"/>
      <c r="D12" s="116"/>
      <c r="E12" s="117"/>
    </row>
    <row r="13" spans="1:5">
      <c r="A13" s="118" t="e" vm="1">
        <v>#VALUE!</v>
      </c>
      <c r="B13" s="119"/>
      <c r="C13" s="119"/>
      <c r="D13" s="119"/>
      <c r="E13" s="120"/>
    </row>
    <row r="14" spans="1:5">
      <c r="A14" s="115" t="e" vm="1">
        <v>#VALUE!</v>
      </c>
      <c r="B14" s="116"/>
      <c r="C14" s="116"/>
      <c r="D14" s="116"/>
      <c r="E14" s="117"/>
    </row>
    <row r="15" spans="1:5">
      <c r="A15" s="118" t="e" vm="1">
        <v>#VALUE!</v>
      </c>
      <c r="B15" s="119"/>
      <c r="C15" s="119"/>
      <c r="D15" s="119"/>
      <c r="E15" s="120"/>
    </row>
    <row r="16" spans="1:5">
      <c r="A16" s="115" t="e" vm="1">
        <v>#VALUE!</v>
      </c>
      <c r="B16" s="116"/>
      <c r="C16" s="116"/>
      <c r="D16" s="116"/>
      <c r="E16" s="117"/>
    </row>
    <row r="17" spans="1:5">
      <c r="A17" s="118" t="e" vm="1">
        <v>#VALUE!</v>
      </c>
      <c r="B17" s="119"/>
      <c r="C17" s="119"/>
      <c r="D17" s="119"/>
      <c r="E17" s="120"/>
    </row>
    <row r="18" spans="1:5">
      <c r="A18" s="115" t="e" vm="1">
        <v>#VALUE!</v>
      </c>
      <c r="B18" s="116"/>
      <c r="C18" s="116"/>
      <c r="D18" s="116"/>
      <c r="E18" s="117"/>
    </row>
    <row r="19" spans="1:5">
      <c r="A19" s="118" t="e" vm="1">
        <v>#VALUE!</v>
      </c>
      <c r="B19" s="119"/>
      <c r="C19" s="119"/>
      <c r="D19" s="119"/>
      <c r="E19" s="120"/>
    </row>
    <row r="20" spans="1:5">
      <c r="A20" s="115" t="e" vm="1">
        <v>#VALUE!</v>
      </c>
      <c r="B20" s="116"/>
      <c r="C20" s="116"/>
      <c r="D20" s="116"/>
      <c r="E20" s="117"/>
    </row>
    <row r="21" spans="1:5">
      <c r="A21" s="118" t="e" vm="1">
        <v>#VALUE!</v>
      </c>
      <c r="B21" s="119"/>
      <c r="C21" s="119"/>
      <c r="D21" s="119"/>
      <c r="E21" s="120"/>
    </row>
    <row r="22" spans="1:5">
      <c r="A22" s="115" t="e" vm="1">
        <v>#VALUE!</v>
      </c>
      <c r="B22" s="116"/>
      <c r="C22" s="116"/>
      <c r="D22" s="116"/>
      <c r="E22" s="117"/>
    </row>
    <row r="23" spans="1:5">
      <c r="A23" s="118"/>
      <c r="B23" s="119"/>
      <c r="C23" s="119"/>
      <c r="D23" s="119"/>
      <c r="E23" s="120"/>
    </row>
    <row r="24" spans="1:5">
      <c r="A24" s="115"/>
      <c r="B24" s="116"/>
      <c r="C24" s="116"/>
      <c r="D24" s="116"/>
      <c r="E24" s="117"/>
    </row>
    <row r="25" spans="1:5">
      <c r="A25" s="118"/>
      <c r="B25" s="119"/>
      <c r="C25" s="119"/>
      <c r="D25" s="119"/>
      <c r="E25" s="120"/>
    </row>
    <row r="26" spans="1:5">
      <c r="A26" s="115"/>
      <c r="B26" s="116"/>
      <c r="C26" s="116"/>
      <c r="D26" s="116"/>
      <c r="E26" s="117"/>
    </row>
    <row r="27" spans="1:5">
      <c r="A27" s="118"/>
      <c r="B27" s="119"/>
      <c r="C27" s="119"/>
      <c r="D27" s="119"/>
      <c r="E27" s="120"/>
    </row>
    <row r="28" spans="1:5">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dataTypeプルダウン項目</vt:lpstr>
      <vt:lpstr>dataType・データパターン一覧</vt:lpstr>
      <vt:lpstr>FK種類</vt:lpstr>
      <vt:lpstr>fmt変更履歴</vt:lpstr>
      <vt:lpstr>各種設定</vt:lpstr>
      <vt:lpstr>dataType定義</vt:lpstr>
      <vt:lpstr>enum定義</vt:lpstr>
      <vt:lpstr>DB項目定義</vt:lpstr>
      <vt:lpstr>DB共通項目定義</vt:lpstr>
      <vt:lpstr>テーブル一覧</vt:lpstr>
      <vt:lpstr>DB項目定義!Print_Area</vt:lpstr>
      <vt:lpstr>一般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田中庸介</cp:lastModifiedBy>
  <dcterms:created xsi:type="dcterms:W3CDTF">2006-09-16T00:00:00Z</dcterms:created>
  <dcterms:modified xsi:type="dcterms:W3CDTF">2026-08-16T02:43:08Z</dcterms:modified>
</cp:coreProperties>
</file>