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4DDF771A-570F-834B-890D-90434FB761DF}" xr6:coauthVersionLast="47" xr6:coauthVersionMax="47" xr10:uidLastSave="{00000000-0000-0000-0000-000000000000}"/>
  <bookViews>
    <workbookView xWindow="0" yWindow="2320" windowWidth="28800" windowHeight="14820" tabRatio="853" activeTab="4" xr2:uid="{00000000-000D-0000-FFFF-FFFF00000000}"/>
  </bookViews>
  <sheets>
    <sheet name="dataTypeプルダウン項目" sheetId="1" state="hidden"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DB項目定義!$A$1:$Z$5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5" l="1"/>
  <c r="A21" i="5"/>
  <c r="A6" i="10" a="1"/>
  <c r="A6" i="10" s="1"/>
  <c r="E3" i="10"/>
  <c r="D3" i="10"/>
  <c r="C3" i="10"/>
  <c r="B3" i="10"/>
  <c r="D13" i="9"/>
  <c r="D12" i="9"/>
  <c r="D11" i="9"/>
  <c r="D10" i="9"/>
  <c r="D9" i="9"/>
  <c r="D8" i="9"/>
  <c r="D7" i="9"/>
  <c r="D6" i="9"/>
  <c r="AK3" i="9"/>
  <c r="AJ3" i="9"/>
  <c r="AI3" i="9"/>
  <c r="AH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7" i="5"/>
  <c r="A26" i="5"/>
  <c r="A25" i="5"/>
  <c r="A24" i="5"/>
  <c r="A23" i="5"/>
  <c r="A22"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K3" i="8"/>
  <c r="AJ3" i="8"/>
  <c r="AI3" i="8"/>
  <c r="AH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<sst xmlns="http://schemas.openxmlformats.org/spreadsheetml/2006/main" count="471" uniqueCount="285">
  <si>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</si>
  <si>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</si>
  <si>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</si>
  <si>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</si>
  <si>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</si>
  <si>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</si>
  <si>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</si>
  <si>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</si>
  <si>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</si>
  <si>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</si>
  <si>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</si>
  <si>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</si>
  <si>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</si>
  <si>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</si>
  <si>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</si>
  <si>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</si>
  <si>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</si>
  <si>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</si>
  <si>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</si>
  <si>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</si>
  <si>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</si>
  <si>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</si>
  <si>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関連：参照元オブジェクト変数名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</si>
  <si>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</si>
  <si>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</si>
  <si>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</si>
  <si>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</si>
  <si>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</si>
  <si>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</si>
  <si>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</si>
  <si>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</si>
  <si>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</si>
  <si>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</si>
  <si>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</si>
  <si>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</si>
  <si>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</si>
  <si>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</si>
  <si>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</si>
  <si>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</si>
  <si>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</si>
  <si>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</si>
  <si>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</si>
  <si>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</si>
  <si>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</si>
  <si>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</si>
  <si>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</si>
  <si>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</si>
  <si>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</si>
  <si>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</si>
  <si>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</si>
  <si>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</si>
  <si>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</si>
  <si>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</si>
  <si>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</si>
  <si>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</si>
  <si>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</si>
  <si>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</si>
  <si>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</si>
  <si>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</si>
  <si>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</si>
  <si>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</si>
  <si>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</si>
  <si>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</si>
  <si>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</si>
  <si>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</si>
  <si>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</si>
  <si>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</si>
  <si>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</si>
  <si>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</si>
  <si>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</si>
  <si>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</si>
  <si>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</si>
  <si>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</si>
  <si>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</si>
  <si>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</si>
  <si>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</si>
  <si>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</si>
  <si>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</si>
  <si>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</si>
  <si>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</si>
  <si>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</si>
  <si>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</si>
  <si>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</si>
  <si>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</si>
  <si>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</si>
  <si>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</si>
  <si>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</si>
  <si>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</si>
  <si>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</si>
  <si>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</si>
  <si>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</si>
  <si>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</si>
  <si>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</si>
  <si>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</si>
  <si>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</si>
  <si>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</si>
  <si>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</si>
  <si>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</si>
  <si>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</si>
  <si>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</si>
  <si>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</si>
  <si>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</si>
  <si>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</si>
  <si>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</si>
  <si>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</si>
  <si>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</si>
  <si>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</si>
  <si>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</si>
  <si>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</si>
  <si>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</si>
  <si>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</si>
  <si>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</si>
  <si>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</si>
  <si>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</si>
  <si>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</si>
  <si>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</si>
  <si>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</si>
  <si>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</si>
  <si>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</si>
  <si>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</si>
  <si>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</si>
  <si>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</si>
  <si>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</si>
  <si>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</si>
  <si>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</si>
  <si>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</si>
  <si>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</si>
  <si>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</si>
  <si>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</si>
  <si>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</si>
  <si>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</si>
  <si>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</si>
  <si>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</si>
  <si>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</si>
  <si>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</si>
  <si>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</si>
  <si>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</si>
  <si>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</si>
  <si>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</si>
  <si>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</si>
  <si>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</si>
  <si>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</si>
  <si>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</si>
  <si>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</si>
  <si>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</si>
  <si>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</si>
  <si>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</si>
  <si>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</si>
  <si>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</si>
  <si>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</si>
  <si>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</si>
  <si>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</si>
  <si>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</si>
  <si>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</si>
  <si>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</si>
  <si>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</si>
  <si>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</si>
  <si>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</si>
  <si>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</si>
  <si>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</si>
  <si>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</si>
  <si>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</si>
  <si>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</si>
  <si>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</si>
  <si>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</si>
  <si>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</si>
  <si>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</si>
  <si>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</si>
  <si>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</si>
  <si>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</si>
  <si>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</si>
  <si>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</si>
  <si>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</si>
  <si>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</si>
  <si>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</si>
  <si>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</si>
  <si>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</si>
  <si>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</si>
  <si>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</si>
  <si>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</si>
  <si>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</si>
  <si>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</si>
  <si>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</si>
  <si>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</si>
  <si>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</si>
  <si>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</si>
  <si>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</si>
  <si>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</si>
  <si>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</si>
  <si>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</si>
  <si>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</si>
  <si>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</si>
  <si>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</si>
  <si>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</si>
  <si>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</si>
  <si>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</si>
  <si>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</si>
  <si>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</si>
  <si>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</si>
  <si>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</si>
  <si>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</si>
  <si>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</si>
  <si>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</si>
  <si>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</si>
  <si>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</si>
  <si>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</si>
  <si>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</si>
  <si>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</si>
  <si>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</si>
  <si>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</si>
  <si>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</si>
  <si>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</si>
  <si>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</si>
  <si>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</si>
  <si>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</si>
  <si>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</si>
  <si>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</si>
  <si>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</si>
  <si>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</si>
  <si>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</si>
  <si>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</si>
  <si>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</si>
  <si>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</si>
  <si>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</si>
  <si>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</si>
  <si>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</si>
  <si>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</si>
  <si>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</si>
  <si>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</si>
  <si>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</si>
  <si>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</si>
  <si>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</si>
  <si>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</si>
  <si>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</si>
  <si>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</si>
  <si>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</si>
  <si>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</si>
  <si>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</si>
  <si>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</si>
  <si>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</si>
  <si>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</si>
  <si>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</si>
  <si>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</si>
  <si>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</si>
  <si>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</si>
  <si>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</si>
  <si>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</si>
  <si>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</si>
  <si>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</si>
  <si>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</si>
  <si>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</si>
  <si>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</si>
  <si>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</si>
  <si>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</si>
  <si>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</si>
  <si>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</si>
  <si>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</si>
  <si>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</si>
  <si>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</si>
  <si>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</si>
  <si>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</si>
  <si>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</si>
  <si>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</si>
  <si>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</si>
  <si>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</si>
  <si>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</si>
  <si>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</si>
  <si>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</si>
  <si>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</si>
  <si>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</si>
  <si>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</si>
  <si>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</si>
  <si>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</si>
  <si>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</si>
  <si>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</si>
  <si>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</si>
  <si>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</si>
  <si>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</si>
  <si>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</si>
  <si>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</si>
  <si>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</si>
  <si>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</si>
  <si>
    <t>VERSION</t>
  </si>
  <si>
    <t>UTF-8</t>
  </si>
  <si>
    <t>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</si>
</sst>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4">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114" dataDxfId="113">
  <autoFilter ref="A3:D39" xr:uid="{00000000-0009-0000-0100-000003000000}"/>
  <tableColumns count="4">
    <tableColumn id="1" xr3:uid="{00000000-0010-0000-0200-000001000000}" name="日付" dataDxfId="112"/>
    <tableColumn id="2" xr3:uid="{00000000-0010-0000-0200-000002000000}" name="バージョン" dataDxfId="111"/>
    <tableColumn id="3" xr3:uid="{00000000-0010-0000-0200-000003000000}" name="修正事項" dataDxfId="110"/>
    <tableColumn id="4" xr3:uid="{00000000-0010-0000-0200-000004000000}" name="修正者" dataDxfId="10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8" totalsRowShown="0" dataDxfId="123">
  <autoFilter ref="A5:H28" xr:uid="{00000000-0009-0000-0100-000004000000}"/>
  <tableColumns count="8">
    <tableColumn id="1" xr3:uid="{00000000-0010-0000-0300-000001000000}" name="#" dataDxfId="122">
      <calculatedColumnFormula>ROW()-5</calculatedColumnFormula>
    </tableColumn>
    <tableColumn id="8" xr3:uid="{00000000-0010-0000-0300-000008000000}" name="分類" dataDxfId="121"/>
    <tableColumn id="2" xr3:uid="{00000000-0010-0000-0300-000002000000}" name="分類名" dataDxfId="120"/>
    <tableColumn id="3" xr3:uid="{00000000-0010-0000-0300-000003000000}" name="項目" dataDxfId="119"/>
    <tableColumn id="4" xr3:uid="{00000000-0010-0000-0300-000004000000}" name="説明" dataDxfId="118"/>
    <tableColumn id="9" xr3:uid="{00000000-0010-0000-0300-000009000000}" name="必須" dataDxfId="117"/>
    <tableColumn id="5" xr3:uid="{00000000-0010-0000-0300-000005000000}" name="値" dataDxfId="116"/>
    <tableColumn id="6" xr3:uid="{00000000-0010-0000-0300-000006000000}" name="備考" dataDxfId="1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108" dataDxfId="107">
  <tableColumns count="19">
    <tableColumn id="1" xr3:uid="{00000000-0010-0000-0400-000001000000}" uniqueName="name" name="DataType名" dataDxfId="106">
      <xmlColumnPr mapId="191" xpath="/root/datatype/@name" xmlDataType="string"/>
    </tableColumn>
    <tableColumn id="3" xr3:uid="{00000000-0010-0000-0400-000003000000}" uniqueName="kata" name="型" dataDxfId="105">
      <xmlColumnPr mapId="191" xpath="/root/datatype/kata" xmlDataType="string"/>
    </tableColumn>
    <tableColumn id="4" xr3:uid="{00000000-0010-0000-0400-000004000000}" uniqueName="minLength" name="長さ最小" dataDxfId="104">
      <xmlColumnPr mapId="191" xpath="/root/datatype/minLength" xmlDataType="string"/>
    </tableColumn>
    <tableColumn id="11" xr3:uid="{00000000-0010-0000-0400-00000B000000}" uniqueName="maxLength" name="長さ最大" dataDxfId="103">
      <xmlColumnPr mapId="191" xpath="/root/datatype/maxLength" xmlDataType="string"/>
    </tableColumn>
    <tableColumn id="15" xr3:uid="{00000000-0010-0000-0400-00000F000000}" uniqueName="numScale" name="データパターン（日本語）" dataDxfId="102"/>
    <tableColumn id="24" xr3:uid="{00000000-0010-0000-0400-000018000000}" uniqueName="stringDataPtn" name="データパターン" dataDxfId="101">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100"/>
    <tableColumn id="25" xr3:uid="{00000000-0010-0000-0400-000019000000}" uniqueName="stringRegEx" name="正規表現" dataDxfId="99">
      <xmlColumnPr mapId="191" xpath="/root/datatype/stringRegEx" xmlDataType="string"/>
    </tableColumn>
    <tableColumn id="9" xr3:uid="{00000000-0010-0000-0400-000009000000}" uniqueName="numMinVal" name="最小値" dataDxfId="98">
      <xmlColumnPr mapId="191" xpath="/root/datatype/numMinVal" xmlDataType="string"/>
    </tableColumn>
    <tableColumn id="10" xr3:uid="{00000000-0010-0000-0400-00000A000000}" uniqueName="numMaxVal" name="最大値" dataDxfId="97">
      <xmlColumnPr mapId="191" xpath="/root/datatype/numMaxVal" xmlDataType="string"/>
    </tableColumn>
    <tableColumn id="12" xr3:uid="{00000000-0010-0000-0400-00000C000000}" uniqueName="numDigitInteger" name="整数部桁数" dataDxfId="96">
      <xmlColumnPr mapId="191" xpath="/root/datatype/numDigitInteger" xmlDataType="string"/>
    </tableColumn>
    <tableColumn id="13" xr3:uid="{00000000-0010-0000-0400-00000D000000}" uniqueName="numDigitFraction" name="小数部桁数" dataDxfId="95">
      <xmlColumnPr mapId="191" xpath="/root/datatype/numDigitFraction" xmlDataType="string"/>
    </tableColumn>
    <tableColumn id="5" xr3:uid="{00000000-0010-0000-0400-000005000000}" uniqueName="enumCodeLength" name="コードの長さ" dataDxfId="94">
      <xmlColumnPr mapId="191" xpath="/root/datatype/enumCodeLength" xmlDataType="string"/>
    </tableColumn>
    <tableColumn id="14" xr3:uid="{00000000-0010-0000-0400-00000E000000}" uniqueName="notNeedsTimezone" name="timezoneなし" dataDxfId="93">
      <xmlColumnPr mapId="191" xpath="/root/datatype/notNeedsTimezone" xmlDataType="string"/>
    </tableColumn>
    <tableColumn id="16" xr3:uid="{00000000-0010-0000-0400-000010000000}" uniqueName="javadoc" name="備考" dataDxfId="92">
      <xmlColumnPr mapId="191" xpath="/root/datatype/javadoc" xmlDataType="string"/>
    </tableColumn>
    <tableColumn id="2" xr3:uid="{00000000-0010-0000-0400-000002000000}" uniqueName="2" name="パターン説明（デフォルト言語）" dataDxfId="91"/>
    <tableColumn id="19" xr3:uid="{00000000-0010-0000-0400-000013000000}" uniqueName="19" name="パターン説明（追加言語1）" dataDxfId="90"/>
    <tableColumn id="20" xr3:uid="{00000000-0010-0000-0400-000014000000}" uniqueName="20" name="パターン説明（追加言語2）" dataDxfId="89"/>
    <tableColumn id="21" xr3:uid="{00000000-0010-0000-0400-000015000000}" uniqueName="21" name="パターン説明（追加言語）" dataDxfId="8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87" dataDxfId="86">
  <autoFilter ref="A6:I33" xr:uid="{00000000-0009-0000-0100-000006000000}"/>
  <tableColumns count="9">
    <tableColumn id="1" xr3:uid="{00000000-0010-0000-0500-000001000000}" uniqueName="dataTypeName" name="DataType名" dataDxfId="85">
      <xmlColumnPr mapId="132" xpath="/root/enum/dataTypeName" xmlDataType="string"/>
    </tableColumn>
    <tableColumn id="8" xr3:uid="{00000000-0010-0000-0500-000008000000}" uniqueName="8" name="code" dataDxfId="84"/>
    <tableColumn id="5" xr3:uid="{00000000-0010-0000-0500-000005000000}" uniqueName="varName" name="varName" dataDxfId="83">
      <xmlColumnPr mapId="132" xpath="/root/enum/varName" xmlDataType="string"/>
    </tableColumn>
    <tableColumn id="10" xr3:uid="{00000000-0010-0000-0500-00000A000000}" uniqueName="10" name="javaのみ" dataDxfId="82"/>
    <tableColumn id="12" xr3:uid="{00000000-0010-0000-0500-00000C000000}" uniqueName="javadoc-value" name="備考" dataDxfId="81">
      <xmlColumnPr mapId="132" xpath="/root/enum/javadoc-value" xmlDataType="string"/>
    </tableColumn>
    <tableColumn id="9" xr3:uid="{00000000-0010-0000-0500-000009000000}" uniqueName="9" name="表示名（デフォルト言語）" dataDxfId="80"/>
    <tableColumn id="4" xr3:uid="{00000000-0010-0000-0500-000004000000}" uniqueName="dispNameAddLang1" name="表示名（追加言語1）" dataDxfId="79">
      <xmlColumnPr mapId="132" xpath="/root/enum/dispNameAddLang1" xmlDataType="string"/>
    </tableColumn>
    <tableColumn id="6" xr3:uid="{00000000-0010-0000-0500-000006000000}" uniqueName="dispNameAddLang2" name="表示名（追加言語2）" dataDxfId="78">
      <xmlColumnPr mapId="132" xpath="/root/enum/dispNameAddLang2" xmlDataType="string"/>
    </tableColumn>
    <tableColumn id="7" xr3:uid="{00000000-0010-0000-0500-000007000000}" uniqueName="dispNameAddLang3" name="表示名（追加言語3）" dataDxfId="77">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K119" tableType="xml" totalsRowShown="0" headerRowDxfId="76" dataDxfId="75">
  <autoFilter ref="A5:AK119" xr:uid="{00000000-0009-0000-0100-000007000000}"/>
  <tableColumns count="37">
    <tableColumn id="1" xr3:uid="{00000000-0010-0000-0600-000001000000}" uniqueName="table" name="テーブル名" dataDxfId="74">
      <xmlColumnPr mapId="161" xpath="/root/column/table" xmlDataType="string"/>
    </tableColumn>
    <tableColumn id="2" xr3:uid="{00000000-0010-0000-0600-000002000000}" uniqueName="name" name="カラム名" dataDxfId="73">
      <xmlColumnPr mapId="161" xpath="/root/column/@name" xmlDataType="string"/>
    </tableColumn>
    <tableColumn id="15" xr3:uid="{00000000-0010-0000-0600-00000F000000}" uniqueName="dataType" name="dataType" dataDxfId="72">
      <xmlColumnPr mapId="161" xpath="/root/column/dataType" xmlDataType="string"/>
    </tableColumn>
    <tableColumn id="16" xr3:uid="{00000000-0010-0000-0600-000010000000}" uniqueName="16" name="dataType存在確認" dataDxfId="71">
      <calculatedColumnFormula>IF(テーブル7[[#This Row],[dataType]]="","",IF(NOT(ISNA(VLOOKUP(テーブル7[[#This Row],[dataType]], dataType定義!A:A, 1,FALSE))), "○", "×"))</calculatedColumnFormula>
    </tableColumn>
    <tableColumn id="28" xr3:uid="{00000000-0010-0000-0600-00001C000000}" uniqueName="28" name="javaのみ" dataDxfId="70"/>
    <tableColumn id="6" xr3:uid="{00000000-0010-0000-0600-000006000000}" uniqueName="pk" name="Surrogate key " dataDxfId="69">
      <xmlColumnPr mapId="161" xpath="/root/column/pk" xmlDataType="string"/>
    </tableColumn>
    <tableColumn id="29" xr3:uid="{00000000-0010-0000-0600-00001D000000}" uniqueName="29" name="natural key (unique key)" dataDxfId="68"/>
    <tableColumn id="8" xr3:uid="{00000000-0010-0000-0600-000008000000}" uniqueName="nullable" name="nullable" dataDxfId="67">
      <xmlColumnPr mapId="161" xpath="/root/column/nullable" xmlDataType="string"/>
    </tableColumn>
    <tableColumn id="10" xr3:uid="{00000000-0010-0000-0600-00000A000000}" uniqueName="autoIncrement" name="自動採番" dataDxfId="66">
      <xmlColumnPr mapId="161" xpath="/root/column/autoIncrement" xmlDataType="string"/>
    </tableColumn>
    <tableColumn id="21" xr3:uid="{00000000-0010-0000-0600-000015000000}" uniqueName="forcedIncrement" name="強制採番" dataDxfId="65">
      <xmlColumnPr mapId="161" xpath="/root/column/forcedIncrement" xmlDataType="string"/>
    </tableColumn>
    <tableColumn id="11" xr3:uid="{00000000-0010-0000-0600-00000B000000}" uniqueName="autoUpdate" name="自動更新" dataDxfId="64">
      <xmlColumnPr mapId="161" xpath="/root/column/autoUpdate" xmlDataType="string"/>
    </tableColumn>
    <tableColumn id="20" xr3:uid="{00000000-0010-0000-0600-000014000000}" uniqueName="forcedUpdate" name="強制更新" dataDxfId="63">
      <xmlColumnPr mapId="161" xpath="/root/column/forcedUpdate" xmlDataType="string"/>
    </tableColumn>
    <tableColumn id="12" xr3:uid="{00000000-0010-0000-0600-00000C000000}" uniqueName="valueChangeMethod" name="グループ識別項目" dataDxfId="62">
      <xmlColumnPr mapId="161" xpath="/root/column/valueChangeMethod" xmlDataType="string"/>
    </tableColumn>
    <tableColumn id="18" xr3:uid="{00000000-0010-0000-0600-000012000000}" uniqueName="updatedValue" name="SPRING監査" dataDxfId="61">
      <xmlColumnPr mapId="161" xpath="/root/column/updatedValue" xmlDataType="string"/>
    </tableColumn>
    <tableColumn id="19" xr3:uid="{00000000-0010-0000-0600-000013000000}" uniqueName="optLock" name="関連：種類" dataDxfId="60">
      <xmlColumnPr mapId="161" xpath="/root/column/optLock" xmlDataType="string"/>
    </tableColumn>
    <tableColumn id="22" xr3:uid="{00000000-0010-0000-0600-000016000000}" uniqueName="22" name="関連：direction" dataDxfId="59"/>
    <tableColumn id="26" xr3:uid="{00000000-0010-0000-0600-00001A000000}" uniqueName="26" name="関連：参照元変数名" dataDxfId="58"/>
    <tableColumn id="31" xr3:uid="{00000000-0010-0000-0600-00001F000000}" uniqueName="31" name="関連：参照元オブジェクト変数名" dataDxfId="57"/>
    <tableColumn id="23" xr3:uid="{00000000-0010-0000-0600-000017000000}" uniqueName="23" name="関連：参照先テーブル" dataDxfId="56"/>
    <tableColumn id="24" xr3:uid="{00000000-0010-0000-0600-000018000000}" uniqueName="24" name="関連：参照先カラム" dataDxfId="55"/>
    <tableColumn id="27" xr3:uid="{00000000-0010-0000-0600-00001B000000}" uniqueName="27" name="関連：参照先変数名" dataDxfId="54"/>
    <tableColumn id="25" xr3:uid="{00000000-0010-0000-0600-000019000000}" uniqueName="25" name="関連：eager" dataDxfId="53"/>
    <tableColumn id="17" xr3:uid="{00000000-0010-0000-0600-000011000000}" uniqueName="index1" name="index1" dataDxfId="52">
      <xmlColumnPr mapId="161" xpath="/root/column/index1" xmlDataType="string"/>
    </tableColumn>
    <tableColumn id="14" xr3:uid="{00000000-0010-0000-0600-00000E000000}" uniqueName="index2" name="index2" dataDxfId="51">
      <xmlColumnPr mapId="161" xpath="/root/column/index2" xmlDataType="string"/>
    </tableColumn>
    <tableColumn id="13" xr3:uid="{00000000-0010-0000-0600-00000D000000}" uniqueName="index3" name="index3" dataDxfId="50">
      <xmlColumnPr mapId="161" xpath="/root/column/index3" xmlDataType="string"/>
    </tableColumn>
    <tableColumn id="34" xr3:uid="{00000000-0010-0000-0600-000022000000}" uniqueName="34" name="index4" dataDxfId="49"/>
    <tableColumn id="35" xr3:uid="{00000000-0010-0000-0600-000023000000}" uniqueName="35" name="index5" dataDxfId="48"/>
    <tableColumn id="36" xr3:uid="{00000000-0010-0000-0600-000024000000}" uniqueName="36" name="index6" dataDxfId="47"/>
    <tableColumn id="37" xr3:uid="{00000000-0010-0000-0600-000025000000}" uniqueName="37" name="index7" dataDxfId="46"/>
    <tableColumn id="38" xr3:uid="{00000000-0010-0000-0600-000026000000}" uniqueName="38" name="index8" dataDxfId="45"/>
    <tableColumn id="39" xr3:uid="{00000000-0010-0000-0600-000027000000}" uniqueName="39" name="index9" dataDxfId="44"/>
    <tableColumn id="40" xr3:uid="{00000000-0010-0000-0600-000028000000}" uniqueName="40" name="index10" dataDxfId="43"/>
    <tableColumn id="5" xr3:uid="{00000000-0010-0000-0600-000005000000}" uniqueName="dispNameAddLang1" name="備考" dataDxfId="42"/>
    <tableColumn id="9" xr3:uid="{00000000-0010-0000-0600-000009000000}" uniqueName="9" name="カラム表示名（デフォルト言語）" dataDxfId="41"/>
    <tableColumn id="3" xr3:uid="{00000000-0010-0000-0600-000003000000}" uniqueName="dispNameAddLang1" name="カラム表示名（追加言語1）" dataDxfId="40">
      <xmlColumnPr mapId="161" xpath="/root/column/dispNameAddLang1" xmlDataType="string"/>
    </tableColumn>
    <tableColumn id="4" xr3:uid="{00000000-0010-0000-0600-000004000000}" uniqueName="dispNameAddLang2" name="カラム表示名（追加言語2）" dataDxfId="39">
      <xmlColumnPr mapId="161" xpath="/root/column/dispNameAddLang2" xmlDataType="string"/>
    </tableColumn>
    <tableColumn id="7" xr3:uid="{00000000-0010-0000-0600-000007000000}" uniqueName="dispNameAddLang3" name="カラム表示名（追加言語3）" dataDxfId="38">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K13" totalsRowShown="0" headerRowDxfId="37" dataDxfId="36">
  <autoFilter ref="A5:AK13" xr:uid="{00000000-0009-0000-0100-000008000000}"/>
  <tableColumns count="37">
    <tableColumn id="1" xr3:uid="{00000000-0010-0000-0700-000001000000}" name="テーブル名" dataDxfId="35"/>
    <tableColumn id="2" xr3:uid="{00000000-0010-0000-0700-000002000000}" name="カラム名" dataDxfId="34"/>
    <tableColumn id="15" xr3:uid="{00000000-0010-0000-0700-00000F000000}" name="dataType" dataDxfId="33"/>
    <tableColumn id="16" xr3:uid="{00000000-0010-0000-0700-000010000000}" name="dataType存在確認" dataDxfId="32">
      <calculatedColumnFormula>IF(C6="","",IF(テーブル74[[#This Row],[dataType]]="","",IF(NOT(ISNA(VLOOKUP(テーブル74[[#This Row],[dataType]], dataType定義!A:A, 1,FALSE))), "○", "×")))</calculatedColumnFormula>
    </tableColumn>
    <tableColumn id="28" xr3:uid="{00000000-0010-0000-0700-00001C000000}" name="javaのみ" dataDxfId="31"/>
    <tableColumn id="6" xr3:uid="{00000000-0010-0000-0700-000006000000}" name="Surrogate key " dataDxfId="30"/>
    <tableColumn id="9" xr3:uid="{00000000-0010-0000-0700-000009000000}" name="natural key (unique key)"/>
    <tableColumn id="8" xr3:uid="{00000000-0010-0000-0700-000008000000}" name="nullable" dataDxfId="29"/>
    <tableColumn id="10" xr3:uid="{00000000-0010-0000-0700-00000A000000}" name="自動採番" dataDxfId="28"/>
    <tableColumn id="21" xr3:uid="{00000000-0010-0000-0700-000015000000}" name="強制採番" dataDxfId="27"/>
    <tableColumn id="11" xr3:uid="{00000000-0010-0000-0700-00000B000000}" name="自動更新" dataDxfId="26"/>
    <tableColumn id="20" xr3:uid="{00000000-0010-0000-0700-000014000000}" name="強制更新" dataDxfId="25"/>
    <tableColumn id="12" xr3:uid="{00000000-0010-0000-0700-00000C000000}" name="グループ識別項目" dataDxfId="24"/>
    <tableColumn id="18" xr3:uid="{00000000-0010-0000-0700-000012000000}" name="SPRING監査" dataDxfId="23"/>
    <tableColumn id="19" xr3:uid="{00000000-0010-0000-0700-000013000000}" name="関連：種類" dataDxfId="22"/>
    <tableColumn id="22" xr3:uid="{00000000-0010-0000-0700-000016000000}" name="関連：direction" dataDxfId="21"/>
    <tableColumn id="26" xr3:uid="{00000000-0010-0000-0700-00001A000000}" name="関連：参照元変数名" dataDxfId="20"/>
    <tableColumn id="29" xr3:uid="{00000000-0010-0000-0700-00001D000000}" name="関連：参照元オブジェクト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42</v>
      </c>
      <c r="B1" s="128"/>
      <c r="C1" s="129"/>
    </row>
    <row r="2" spans="1:3">
      <c r="A2" s="124" t="s">
        <v>43</v>
      </c>
      <c r="B2" s="124" t="s">
        <v>44</v>
      </c>
      <c r="C2" s="124" t="s">
        <v>45</v>
      </c>
    </row>
    <row r="3" spans="1:3">
      <c r="A3" s="123" t="s">
        <v>46</v>
      </c>
      <c r="B3" s="18" t="s">
        <v>47</v>
      </c>
      <c r="C3" s="19" t="s">
        <v>48</v>
      </c>
    </row>
    <row r="4" spans="1:3">
      <c r="A4" s="123" t="s">
        <v>49</v>
      </c>
      <c r="B4" s="18" t="s">
        <v>50</v>
      </c>
      <c r="C4" s="19"/>
    </row>
    <row r="5" spans="1:3">
      <c r="A5" s="123" t="s">
        <v>51</v>
      </c>
      <c r="B5" s="18" t="s">
        <v>52</v>
      </c>
      <c r="C5" s="19"/>
    </row>
    <row r="6" spans="1:3">
      <c r="A6" s="123" t="s">
        <v>53</v>
      </c>
      <c r="B6" s="18" t="s">
        <v>54</v>
      </c>
      <c r="C6" s="19"/>
    </row>
    <row r="7" spans="1:3">
      <c r="A7" s="123" t="s">
        <v>55</v>
      </c>
      <c r="B7" s="18" t="s">
        <v>56</v>
      </c>
      <c r="C7" s="19"/>
    </row>
    <row r="8" spans="1:3">
      <c r="A8" s="123" t="s">
        <v>57</v>
      </c>
      <c r="B8" s="18" t="s">
        <v>58</v>
      </c>
      <c r="C8" s="19"/>
    </row>
    <row r="9" spans="1:3">
      <c r="A9" s="123" t="s">
        <v>59</v>
      </c>
      <c r="B9" s="18" t="s">
        <v>60</v>
      </c>
      <c r="C9" s="19"/>
    </row>
    <row r="10" spans="1:3">
      <c r="A10" s="123" t="s">
        <v>61</v>
      </c>
      <c r="B10" s="18" t="s">
        <v>62</v>
      </c>
      <c r="C10" s="19"/>
    </row>
    <row r="11" spans="1:3">
      <c r="A11" s="123" t="s">
        <v>63</v>
      </c>
      <c r="B11" s="18" t="s">
        <v>64</v>
      </c>
      <c r="C11" s="19"/>
    </row>
    <row r="12" spans="1:3">
      <c r="A12" s="123" t="s">
        <v>65</v>
      </c>
      <c r="B12" s="18" t="s">
        <v>66</v>
      </c>
      <c r="C12" s="19"/>
    </row>
    <row r="13" spans="1:3">
      <c r="A13" s="123" t="s">
        <v>67</v>
      </c>
      <c r="B13" s="18" t="s">
        <v>68</v>
      </c>
      <c r="C13" s="19"/>
    </row>
    <row r="14" spans="1:3">
      <c r="A14" s="123" t="s">
        <v>69</v>
      </c>
      <c r="B14" s="18" t="s">
        <v>70</v>
      </c>
      <c r="C14" s="19"/>
    </row>
    <row r="15" spans="1:3">
      <c r="A15" s="123" t="s">
        <v>71</v>
      </c>
      <c r="B15" s="18" t="s">
        <v>72</v>
      </c>
      <c r="C15" s="19"/>
    </row>
    <row r="16" spans="1:3">
      <c r="A16" s="123" t="s">
        <v>73</v>
      </c>
      <c r="B16" s="18" t="s">
        <v>74</v>
      </c>
      <c r="C16" s="19"/>
    </row>
    <row r="17" spans="1:3">
      <c r="A17" s="19"/>
      <c r="B17" s="18" t="s">
        <v>75</v>
      </c>
      <c r="C17" s="19"/>
    </row>
    <row r="18" spans="1:3">
      <c r="A18" s="19"/>
      <c r="B18" s="18"/>
      <c r="C18" s="19"/>
    </row>
    <row r="19" spans="1:3">
      <c r="B19" s="16"/>
    </row>
    <row r="20" spans="1:3">
      <c r="C20" t="s">
        <v>76</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77</v>
      </c>
      <c r="B1" t="s">
        <v>78</v>
      </c>
    </row>
    <row r="2" spans="1:2">
      <c r="A2" t="s">
        <v>46</v>
      </c>
      <c r="B2" t="s">
        <v>79</v>
      </c>
    </row>
    <row r="3" spans="1:2">
      <c r="A3" t="s">
        <v>51</v>
      </c>
      <c r="B3" t="s">
        <v>80</v>
      </c>
    </row>
    <row r="4" spans="1:2">
      <c r="A4" t="s">
        <v>53</v>
      </c>
      <c r="B4" t="s">
        <v>81</v>
      </c>
    </row>
    <row r="5" spans="1:2">
      <c r="A5" t="s">
        <v>55</v>
      </c>
      <c r="B5" t="s">
        <v>82</v>
      </c>
    </row>
    <row r="6" spans="1:2">
      <c r="A6" t="s">
        <v>57</v>
      </c>
      <c r="B6" t="s">
        <v>83</v>
      </c>
    </row>
    <row r="7" spans="1:2">
      <c r="A7" t="s">
        <v>59</v>
      </c>
      <c r="B7" t="s">
        <v>84</v>
      </c>
    </row>
    <row r="8" spans="1:2">
      <c r="A8" t="s">
        <v>61</v>
      </c>
      <c r="B8" t="s">
        <v>85</v>
      </c>
    </row>
    <row r="9" spans="1:2">
      <c r="A9" t="s">
        <v>63</v>
      </c>
      <c r="B9" t="s">
        <v>86</v>
      </c>
    </row>
    <row r="10" spans="1:2">
      <c r="A10" t="s">
        <v>65</v>
      </c>
      <c r="B10" t="s">
        <v>87</v>
      </c>
    </row>
    <row r="11" spans="1:2">
      <c r="A11" t="s">
        <v>67</v>
      </c>
      <c r="B11" t="s">
        <v>88</v>
      </c>
    </row>
    <row r="12" spans="1:2">
      <c r="A12" t="s">
        <v>69</v>
      </c>
      <c r="B12" t="s">
        <v>89</v>
      </c>
    </row>
    <row r="13" spans="1:2">
      <c r="A13" t="s">
        <v>71</v>
      </c>
      <c r="B13" t="s">
        <v>90</v>
      </c>
    </row>
    <row r="14" spans="1:2">
      <c r="A14" t="s">
        <v>73</v>
      </c>
      <c r="B14" t="s">
        <v>91</v>
      </c>
    </row>
    <row r="15" spans="1:2">
      <c r="A15" t="s">
        <v>49</v>
      </c>
      <c r="B15" t="s">
        <v>92</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93</v>
      </c>
      <c r="B1" t="s">
        <v>94</v>
      </c>
      <c r="C1" t="s">
        <v>95</v>
      </c>
    </row>
    <row r="2" spans="1:3">
      <c r="A2" t="s">
        <v>96</v>
      </c>
      <c r="B2" t="s">
        <v>97</v>
      </c>
      <c r="C2" t="s">
        <v>98</v>
      </c>
    </row>
    <row r="3" spans="1:3">
      <c r="A3" t="s">
        <v>99</v>
      </c>
      <c r="B3" t="s">
        <v>97</v>
      </c>
      <c r="C3" t="s">
        <v>100</v>
      </c>
    </row>
    <row r="4" spans="1:3">
      <c r="A4" t="s">
        <v>101</v>
      </c>
      <c r="B4" t="s">
        <v>102</v>
      </c>
      <c r="C4" t="s">
        <v>98</v>
      </c>
    </row>
    <row r="11" spans="1:3">
      <c r="A11" t="s">
        <v>103</v>
      </c>
    </row>
    <row r="12" spans="1:3">
      <c r="A12" t="s">
        <v>104</v>
      </c>
    </row>
    <row r="13" spans="1:3">
      <c r="A13" s="46" t="s">
        <v>105</v>
      </c>
    </row>
    <row r="14" spans="1:3">
      <c r="A14" t="s">
        <v>106</v>
      </c>
    </row>
    <row r="15" spans="1:3">
      <c r="A15" t="s">
        <v>107</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8" zoomScaleNormal="100" workbookViewId="0">
      <selection activeCell="B39" sqref="B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108</v>
      </c>
    </row>
    <row r="3" spans="1:4">
      <c r="A3" s="78" t="s">
        <v>109</v>
      </c>
      <c r="B3" s="78" t="s">
        <v>110</v>
      </c>
      <c r="C3" s="78" t="s">
        <v>111</v>
      </c>
      <c r="D3" s="78" t="s">
        <v>112</v>
      </c>
    </row>
    <row r="4" spans="1:4">
      <c r="A4" s="13">
        <v>41456</v>
      </c>
      <c r="B4" s="14" t="s">
        <v>113</v>
      </c>
      <c r="C4" s="1" t="s">
        <v>114</v>
      </c>
      <c r="D4" s="4" t="s">
        <v>115</v>
      </c>
    </row>
    <row r="5" spans="1:4">
      <c r="A5" s="13">
        <v>41484</v>
      </c>
      <c r="B5" s="14" t="s">
        <v>116</v>
      </c>
      <c r="C5" s="1" t="s">
        <v>117</v>
      </c>
      <c r="D5" s="4" t="s">
        <v>115</v>
      </c>
    </row>
    <row r="6" spans="1:4">
      <c r="A6" s="13">
        <v>41486</v>
      </c>
      <c r="B6" s="14" t="s">
        <v>118</v>
      </c>
      <c r="C6" s="1" t="s">
        <v>119</v>
      </c>
      <c r="D6" s="4" t="s">
        <v>115</v>
      </c>
    </row>
    <row r="7" spans="1:4" ht="32" customHeight="1">
      <c r="A7" s="13">
        <v>41490</v>
      </c>
      <c r="B7" s="14" t="s">
        <v>120</v>
      </c>
      <c r="C7" s="15" t="s">
        <v>121</v>
      </c>
      <c r="D7" s="4" t="s">
        <v>115</v>
      </c>
    </row>
    <row r="8" spans="1:4">
      <c r="A8" s="13">
        <v>41506</v>
      </c>
      <c r="B8" s="14" t="s">
        <v>122</v>
      </c>
      <c r="C8" s="1" t="s">
        <v>123</v>
      </c>
      <c r="D8" s="4" t="s">
        <v>115</v>
      </c>
    </row>
    <row r="9" spans="1:4" ht="266.25" customHeight="1">
      <c r="A9" s="13">
        <v>41973</v>
      </c>
      <c r="B9" s="14" t="s">
        <v>124</v>
      </c>
      <c r="C9" s="15" t="s">
        <v>125</v>
      </c>
      <c r="D9" s="4" t="s">
        <v>115</v>
      </c>
    </row>
    <row r="10" spans="1:4" ht="32" customHeight="1">
      <c r="A10" s="13">
        <v>41993</v>
      </c>
      <c r="B10" s="14" t="s">
        <v>126</v>
      </c>
      <c r="C10" s="15" t="s">
        <v>127</v>
      </c>
      <c r="D10" s="4" t="s">
        <v>115</v>
      </c>
    </row>
    <row r="11" spans="1:4">
      <c r="A11" s="13">
        <v>41993</v>
      </c>
      <c r="B11" s="14" t="s">
        <v>128</v>
      </c>
      <c r="C11" s="1" t="s">
        <v>129</v>
      </c>
      <c r="D11" s="4" t="s">
        <v>115</v>
      </c>
    </row>
    <row r="12" spans="1:4" ht="48" customHeight="1">
      <c r="A12" s="13">
        <v>42096</v>
      </c>
      <c r="B12" s="14" t="s">
        <v>130</v>
      </c>
      <c r="C12" s="15" t="s">
        <v>131</v>
      </c>
      <c r="D12" s="4" t="s">
        <v>115</v>
      </c>
    </row>
    <row r="13" spans="1:4" ht="32" customHeight="1">
      <c r="A13" s="13">
        <v>42103</v>
      </c>
      <c r="B13" s="14" t="s">
        <v>132</v>
      </c>
      <c r="C13" s="15" t="s">
        <v>133</v>
      </c>
      <c r="D13" s="4" t="s">
        <v>115</v>
      </c>
    </row>
    <row r="14" spans="1:4" ht="32" customHeight="1">
      <c r="A14" s="13">
        <v>42121</v>
      </c>
      <c r="B14" s="14" t="s">
        <v>134</v>
      </c>
      <c r="C14" s="15" t="s">
        <v>135</v>
      </c>
      <c r="D14" s="4" t="s">
        <v>115</v>
      </c>
    </row>
    <row r="15" spans="1:4" ht="48" customHeight="1">
      <c r="A15" s="13">
        <v>42136</v>
      </c>
      <c r="B15" s="14" t="s">
        <v>136</v>
      </c>
      <c r="C15" s="15" t="s">
        <v>137</v>
      </c>
      <c r="D15" s="4" t="s">
        <v>115</v>
      </c>
    </row>
    <row r="16" spans="1:4" ht="80" customHeight="1">
      <c r="A16" s="13">
        <v>42463</v>
      </c>
      <c r="B16" s="14" t="s">
        <v>138</v>
      </c>
      <c r="C16" s="15" t="s">
        <v>139</v>
      </c>
      <c r="D16" s="4" t="s">
        <v>115</v>
      </c>
    </row>
    <row r="17" spans="1:4" ht="80" customHeight="1">
      <c r="A17" s="13">
        <v>43015</v>
      </c>
      <c r="B17" s="14" t="s">
        <v>140</v>
      </c>
      <c r="C17" s="15" t="s">
        <v>141</v>
      </c>
      <c r="D17" s="4" t="s">
        <v>115</v>
      </c>
    </row>
    <row r="18" spans="1:4" ht="32" customHeight="1">
      <c r="A18" s="13">
        <v>43029</v>
      </c>
      <c r="B18" s="14" t="s">
        <v>142</v>
      </c>
      <c r="C18" s="15" t="s">
        <v>143</v>
      </c>
      <c r="D18" s="4" t="s">
        <v>115</v>
      </c>
    </row>
    <row r="19" spans="1:4" ht="80" customHeight="1">
      <c r="A19" s="13">
        <v>43060</v>
      </c>
      <c r="B19" s="14" t="s">
        <v>144</v>
      </c>
      <c r="C19" s="15" t="s">
        <v>145</v>
      </c>
      <c r="D19" s="4" t="s">
        <v>115</v>
      </c>
    </row>
    <row r="20" spans="1:4" ht="48" customHeight="1">
      <c r="A20" s="13">
        <v>43182</v>
      </c>
      <c r="B20" s="14" t="s">
        <v>146</v>
      </c>
      <c r="C20" s="15" t="s">
        <v>147</v>
      </c>
      <c r="D20" s="4" t="s">
        <v>115</v>
      </c>
    </row>
    <row r="21" spans="1:4" ht="96" customHeight="1">
      <c r="A21" s="13">
        <v>43856</v>
      </c>
      <c r="B21" s="14" t="s">
        <v>148</v>
      </c>
      <c r="C21" s="15" t="s">
        <v>149</v>
      </c>
      <c r="D21" s="4" t="s">
        <v>115</v>
      </c>
    </row>
    <row r="22" spans="1:4" ht="32" customHeight="1">
      <c r="A22" s="13">
        <v>44962</v>
      </c>
      <c r="B22" s="14" t="s">
        <v>150</v>
      </c>
      <c r="C22" s="15" t="s">
        <v>151</v>
      </c>
      <c r="D22" s="4" t="s">
        <v>115</v>
      </c>
    </row>
    <row r="23" spans="1:4" ht="112" customHeight="1">
      <c r="A23" s="13">
        <v>44962</v>
      </c>
      <c r="B23" s="14" t="s">
        <v>152</v>
      </c>
      <c r="C23" s="15" t="s">
        <v>153</v>
      </c>
      <c r="D23" s="4" t="s">
        <v>115</v>
      </c>
    </row>
    <row r="24" spans="1:4" ht="16" customHeight="1">
      <c r="A24" s="13">
        <v>45017</v>
      </c>
      <c r="B24" s="14" t="s">
        <v>154</v>
      </c>
      <c r="C24" s="15" t="s">
        <v>155</v>
      </c>
      <c r="D24" s="4" t="s">
        <v>115</v>
      </c>
    </row>
    <row r="25" spans="1:4" ht="176" customHeight="1">
      <c r="A25" s="13">
        <v>45050</v>
      </c>
      <c r="B25" s="14" t="s">
        <v>156</v>
      </c>
      <c r="C25" s="15" t="s">
        <v>157</v>
      </c>
      <c r="D25" s="4" t="s">
        <v>115</v>
      </c>
    </row>
    <row r="26" spans="1:4" ht="32" customHeight="1">
      <c r="A26" s="13">
        <v>45122</v>
      </c>
      <c r="B26" s="14" t="s">
        <v>158</v>
      </c>
      <c r="C26" s="15" t="s">
        <v>159</v>
      </c>
      <c r="D26" s="4" t="s">
        <v>115</v>
      </c>
    </row>
    <row r="27" spans="1:4" ht="160" customHeight="1">
      <c r="A27" s="13">
        <v>45134</v>
      </c>
      <c r="B27" s="14" t="s">
        <v>160</v>
      </c>
      <c r="C27" s="15" t="s">
        <v>161</v>
      </c>
      <c r="D27" s="4" t="s">
        <v>115</v>
      </c>
    </row>
    <row r="28" spans="1:4" ht="64" customHeight="1">
      <c r="A28" s="13">
        <v>45136</v>
      </c>
      <c r="B28" s="14" t="s">
        <v>162</v>
      </c>
      <c r="C28" s="15" t="s">
        <v>163</v>
      </c>
      <c r="D28" s="4" t="s">
        <v>115</v>
      </c>
    </row>
    <row r="29" spans="1:4" ht="160" customHeight="1">
      <c r="A29" s="13">
        <v>45144</v>
      </c>
      <c r="B29" s="14" t="s">
        <v>164</v>
      </c>
      <c r="C29" s="15" t="s">
        <v>165</v>
      </c>
      <c r="D29" s="4" t="s">
        <v>115</v>
      </c>
    </row>
    <row r="30" spans="1:4" ht="112" customHeight="1">
      <c r="A30" s="13">
        <v>45360</v>
      </c>
      <c r="B30" s="14" t="s">
        <v>166</v>
      </c>
      <c r="C30" s="15" t="s">
        <v>167</v>
      </c>
      <c r="D30" s="4" t="s">
        <v>115</v>
      </c>
    </row>
    <row r="31" spans="1:4" ht="112" customHeight="1">
      <c r="A31" s="13">
        <v>45444</v>
      </c>
      <c r="B31" s="14" t="s">
        <v>168</v>
      </c>
      <c r="C31" s="15" t="s">
        <v>169</v>
      </c>
      <c r="D31" s="4" t="s">
        <v>115</v>
      </c>
    </row>
    <row r="32" spans="1:4" ht="112" customHeight="1">
      <c r="A32" s="13">
        <v>45602</v>
      </c>
      <c r="B32" s="14" t="s">
        <v>170</v>
      </c>
      <c r="C32" s="15" t="s">
        <v>171</v>
      </c>
      <c r="D32" s="4" t="s">
        <v>115</v>
      </c>
    </row>
    <row r="33" spans="1:4" ht="192" customHeight="1">
      <c r="A33" s="13">
        <v>45707</v>
      </c>
      <c r="B33" s="14" t="s">
        <v>172</v>
      </c>
      <c r="C33" s="15" t="s">
        <v>173</v>
      </c>
      <c r="D33" s="4" t="s">
        <v>115</v>
      </c>
    </row>
    <row r="34" spans="1:4" ht="240" customHeight="1">
      <c r="A34" s="13">
        <v>45730</v>
      </c>
      <c r="B34" s="14" t="s">
        <v>174</v>
      </c>
      <c r="C34" s="15" t="s">
        <v>175</v>
      </c>
      <c r="D34" s="4" t="s">
        <v>115</v>
      </c>
    </row>
    <row r="35" spans="1:4">
      <c r="A35" s="13">
        <v>45809</v>
      </c>
      <c r="B35" s="14" t="s">
        <v>176</v>
      </c>
      <c r="C35" s="1" t="s">
        <v>177</v>
      </c>
      <c r="D35" s="4" t="s">
        <v>115</v>
      </c>
    </row>
    <row r="36" spans="1:4" ht="112" customHeight="1">
      <c r="A36" s="67">
        <v>46124</v>
      </c>
      <c r="B36" s="14" t="s">
        <v>178</v>
      </c>
      <c r="C36" s="15" t="s">
        <v>179</v>
      </c>
      <c r="D36" s="4" t="s">
        <v>115</v>
      </c>
    </row>
    <row r="37" spans="1:4" ht="409" customHeight="1">
      <c r="A37" s="13">
        <v>46192</v>
      </c>
      <c r="B37" s="14" t="s">
        <v>180</v>
      </c>
      <c r="C37" s="15" t="s">
        <v>181</v>
      </c>
      <c r="D37" s="4" t="s">
        <v>115</v>
      </c>
    </row>
    <row r="38" spans="1:4" ht="224" customHeight="1">
      <c r="A38" s="1" t="s">
        <v>182</v>
      </c>
      <c r="B38" s="14" t="s">
        <v>182</v>
      </c>
      <c r="C38" s="15" t="s">
        <v>183</v>
      </c>
      <c r="D38" s="14" t="s">
        <v>182</v>
      </c>
    </row>
    <row r="39" spans="1:4" ht="208" customHeight="1">
      <c r="A39" s="13">
        <v>46196</v>
      </c>
      <c r="B39" s="14" t="s">
        <v>184</v>
      </c>
      <c r="C39" s="15" t="s">
        <v>185</v>
      </c>
      <c r="D39" s="4" t="s">
        <v>115</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tabSelected="1" zoomScale="113" zoomScaleNormal="110" workbookViewId="0">
      <pane ySplit="5" topLeftCell="A24" activePane="bottomLeft" state="frozen"/>
      <selection pane="bottomLeft" activeCell="E27" sqref="E27"/>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186</v>
      </c>
    </row>
    <row r="3" spans="1:8">
      <c r="A3" t="s">
        <v>187</v>
      </c>
    </row>
    <row r="5" spans="1:8" ht="16" customHeight="1">
      <c r="A5" s="68" t="s">
        <v>188</v>
      </c>
      <c r="B5" s="68" t="s">
        <v>189</v>
      </c>
      <c r="C5" s="69" t="s">
        <v>190</v>
      </c>
      <c r="D5" s="68" t="s">
        <v>191</v>
      </c>
      <c r="E5" s="68" t="s">
        <v>192</v>
      </c>
      <c r="F5" s="68" t="s">
        <v>193</v>
      </c>
      <c r="G5" t="s">
        <v>194</v>
      </c>
      <c r="H5" t="s">
        <v>37</v>
      </c>
    </row>
    <row r="6" spans="1:8" ht="16" customHeight="1">
      <c r="A6" s="1">
        <f t="shared" ref="A6:A27" si="0">ROW()-5</f>
        <v>1</v>
      </c>
      <c r="B6" s="1" t="s">
        <v>195</v>
      </c>
      <c r="C6" s="15" t="s">
        <v>196</v>
      </c>
      <c r="D6" s="1" t="s">
        <v>197</v>
      </c>
      <c r="E6" s="15" t="s">
        <v>198</v>
      </c>
      <c r="F6" s="27" t="s">
        <v>199</v>
      </c>
      <c r="G6" s="1" t="s">
        <v>200</v>
      </c>
      <c r="H6" s="1"/>
    </row>
    <row r="7" spans="1:8" ht="32" customHeight="1">
      <c r="A7" s="1">
        <f t="shared" si="0"/>
        <v>2</v>
      </c>
      <c r="B7" s="1" t="s">
        <v>195</v>
      </c>
      <c r="C7" s="15" t="s">
        <v>196</v>
      </c>
      <c r="D7" s="1" t="s">
        <v>201</v>
      </c>
      <c r="E7" s="15" t="s">
        <v>202</v>
      </c>
      <c r="F7" s="27" t="s">
        <v>199</v>
      </c>
      <c r="G7" s="1"/>
      <c r="H7" s="1"/>
    </row>
    <row r="8" spans="1:8" ht="16" customHeight="1">
      <c r="A8" s="1">
        <f t="shared" si="0"/>
        <v>3</v>
      </c>
      <c r="B8" s="1" t="s">
        <v>195</v>
      </c>
      <c r="C8" s="15" t="s">
        <v>196</v>
      </c>
      <c r="D8" s="1" t="s">
        <v>203</v>
      </c>
      <c r="E8" s="1" t="s">
        <v>204</v>
      </c>
      <c r="F8" s="27" t="s">
        <v>199</v>
      </c>
      <c r="G8" s="1"/>
      <c r="H8" s="1"/>
    </row>
    <row r="9" spans="1:8" ht="32" customHeight="1">
      <c r="A9" s="1">
        <f t="shared" si="0"/>
        <v>4</v>
      </c>
      <c r="B9" s="1" t="s">
        <v>195</v>
      </c>
      <c r="C9" s="15" t="s">
        <v>196</v>
      </c>
      <c r="D9" s="1" t="s">
        <v>45</v>
      </c>
      <c r="E9" s="15" t="s">
        <v>205</v>
      </c>
      <c r="F9" s="27" t="s">
        <v>199</v>
      </c>
      <c r="G9" s="1" t="s">
        <v>48</v>
      </c>
      <c r="H9" s="1"/>
    </row>
    <row r="10" spans="1:8" ht="16" customHeight="1">
      <c r="A10" s="1">
        <f t="shared" si="0"/>
        <v>5</v>
      </c>
      <c r="B10" s="1" t="s">
        <v>195</v>
      </c>
      <c r="C10" s="15" t="s">
        <v>196</v>
      </c>
      <c r="D10" s="1" t="s">
        <v>206</v>
      </c>
      <c r="E10" s="1" t="s">
        <v>207</v>
      </c>
      <c r="F10" s="27" t="s">
        <v>199</v>
      </c>
      <c r="G10" s="1" t="s">
        <v>283</v>
      </c>
      <c r="H10" s="1"/>
    </row>
    <row r="11" spans="1:8" ht="32" customHeight="1">
      <c r="A11" s="1">
        <f t="shared" si="0"/>
        <v>6</v>
      </c>
      <c r="B11" s="1" t="s">
        <v>195</v>
      </c>
      <c r="C11" s="15" t="s">
        <v>196</v>
      </c>
      <c r="D11" s="1" t="s">
        <v>208</v>
      </c>
      <c r="E11" s="15" t="s">
        <v>209</v>
      </c>
      <c r="F11" s="27" t="s">
        <v>199</v>
      </c>
      <c r="G11" s="1" t="s">
        <v>284</v>
      </c>
      <c r="H11" s="1"/>
    </row>
    <row r="12" spans="1:8" ht="48" customHeight="1">
      <c r="A12" s="1">
        <f t="shared" si="0"/>
        <v>7</v>
      </c>
      <c r="B12" s="1" t="s">
        <v>195</v>
      </c>
      <c r="C12" s="15" t="s">
        <v>196</v>
      </c>
      <c r="D12" s="1" t="s">
        <v>210</v>
      </c>
      <c r="E12" s="15" t="s">
        <v>211</v>
      </c>
      <c r="F12" s="27"/>
      <c r="G12" s="1"/>
      <c r="H12" s="1"/>
    </row>
    <row r="13" spans="1:8" ht="16" customHeight="1">
      <c r="A13" s="1">
        <f t="shared" si="0"/>
        <v>8</v>
      </c>
      <c r="B13" s="1" t="s">
        <v>195</v>
      </c>
      <c r="C13" s="15" t="s">
        <v>196</v>
      </c>
      <c r="D13" s="1" t="s">
        <v>212</v>
      </c>
      <c r="E13" s="1" t="s">
        <v>213</v>
      </c>
      <c r="F13" s="4"/>
      <c r="G13" s="1"/>
      <c r="H13" s="1"/>
    </row>
    <row r="14" spans="1:8" ht="16" customHeight="1">
      <c r="A14" s="1">
        <f t="shared" si="0"/>
        <v>9</v>
      </c>
      <c r="B14" s="1" t="s">
        <v>195</v>
      </c>
      <c r="C14" s="15" t="s">
        <v>196</v>
      </c>
      <c r="D14" s="1" t="s">
        <v>214</v>
      </c>
      <c r="E14" s="1" t="s">
        <v>215</v>
      </c>
      <c r="F14" s="4"/>
      <c r="G14" s="1"/>
      <c r="H14" s="1"/>
    </row>
    <row r="15" spans="1:8" ht="16" customHeight="1">
      <c r="A15" s="1">
        <f t="shared" si="0"/>
        <v>10</v>
      </c>
      <c r="B15" s="1" t="s">
        <v>195</v>
      </c>
      <c r="C15" s="15" t="s">
        <v>196</v>
      </c>
      <c r="D15" s="1" t="s">
        <v>216</v>
      </c>
      <c r="E15" s="1" t="s">
        <v>217</v>
      </c>
      <c r="F15" s="4"/>
      <c r="G15" s="1"/>
      <c r="H15" s="1"/>
    </row>
    <row r="16" spans="1:8" ht="32" customHeight="1">
      <c r="A16" s="1">
        <f t="shared" si="0"/>
        <v>11</v>
      </c>
      <c r="B16" s="1" t="s">
        <v>195</v>
      </c>
      <c r="C16" s="15" t="s">
        <v>196</v>
      </c>
      <c r="D16" s="1" t="s">
        <v>218</v>
      </c>
      <c r="E16" s="15" t="s">
        <v>219</v>
      </c>
      <c r="F16" s="4"/>
      <c r="G16" s="1"/>
      <c r="H16" s="1"/>
    </row>
    <row r="17" spans="1:8" ht="48" customHeight="1">
      <c r="A17" s="1">
        <f t="shared" si="0"/>
        <v>12</v>
      </c>
      <c r="B17" s="1" t="s">
        <v>195</v>
      </c>
      <c r="C17" s="15" t="s">
        <v>196</v>
      </c>
      <c r="D17" s="1" t="s">
        <v>220</v>
      </c>
      <c r="E17" s="15" t="s">
        <v>221</v>
      </c>
      <c r="F17" s="4"/>
      <c r="G17" s="1"/>
      <c r="H17" s="1"/>
    </row>
    <row r="18" spans="1:8" ht="48" customHeight="1">
      <c r="A18" s="1">
        <f t="shared" si="0"/>
        <v>13</v>
      </c>
      <c r="B18" s="1" t="s">
        <v>195</v>
      </c>
      <c r="C18" s="15" t="s">
        <v>196</v>
      </c>
      <c r="D18" s="1" t="s">
        <v>222</v>
      </c>
      <c r="E18" s="15" t="s">
        <v>223</v>
      </c>
      <c r="F18" s="4"/>
      <c r="G18" s="1"/>
      <c r="H18" s="1"/>
    </row>
    <row r="19" spans="1:8" ht="48" customHeight="1">
      <c r="A19" s="1">
        <f t="shared" si="0"/>
        <v>14</v>
      </c>
      <c r="B19" s="1" t="s">
        <v>195</v>
      </c>
      <c r="C19" s="15" t="s">
        <v>196</v>
      </c>
      <c r="D19" s="1" t="s">
        <v>224</v>
      </c>
      <c r="E19" s="15" t="s">
        <v>225</v>
      </c>
      <c r="F19" s="4"/>
      <c r="G19" s="1"/>
      <c r="H19" s="1"/>
    </row>
    <row r="20" spans="1:8" ht="112" customHeight="1">
      <c r="A20" s="1">
        <f t="shared" si="0"/>
        <v>15</v>
      </c>
      <c r="B20" s="1" t="s">
        <v>226</v>
      </c>
      <c r="C20" s="15" t="s">
        <v>227</v>
      </c>
      <c r="D20" s="1" t="s">
        <v>228</v>
      </c>
      <c r="E20" s="15" t="s">
        <v>229</v>
      </c>
      <c r="F20" s="27"/>
      <c r="G20" s="2"/>
      <c r="H20" s="15"/>
    </row>
    <row r="21" spans="1:8" ht="32" customHeight="1">
      <c r="A21" s="1">
        <f t="shared" si="0"/>
        <v>16</v>
      </c>
      <c r="B21" s="1" t="s">
        <v>226</v>
      </c>
      <c r="C21" s="15" t="s">
        <v>227</v>
      </c>
      <c r="D21" s="1" t="s">
        <v>230</v>
      </c>
      <c r="E21" s="15" t="s">
        <v>231</v>
      </c>
      <c r="F21" s="4"/>
      <c r="G21" s="2"/>
      <c r="H21" s="15"/>
    </row>
    <row r="22" spans="1:8" ht="32" customHeight="1">
      <c r="A22" s="1">
        <f t="shared" si="0"/>
        <v>17</v>
      </c>
      <c r="B22" s="1" t="s">
        <v>226</v>
      </c>
      <c r="C22" s="15" t="s">
        <v>227</v>
      </c>
      <c r="D22" s="1" t="s">
        <v>232</v>
      </c>
      <c r="E22" s="15" t="s">
        <v>233</v>
      </c>
      <c r="F22" s="27"/>
      <c r="G22" s="2"/>
      <c r="H22" s="15"/>
    </row>
    <row r="23" spans="1:8" ht="32" customHeight="1">
      <c r="A23" s="1">
        <f t="shared" si="0"/>
        <v>18</v>
      </c>
      <c r="B23" s="1" t="s">
        <v>226</v>
      </c>
      <c r="C23" s="15" t="s">
        <v>227</v>
      </c>
      <c r="D23" s="1" t="s">
        <v>234</v>
      </c>
      <c r="E23" s="15" t="s">
        <v>235</v>
      </c>
      <c r="F23" s="27"/>
      <c r="G23" s="2"/>
      <c r="H23" s="15"/>
    </row>
    <row r="24" spans="1:8" ht="160" customHeight="1">
      <c r="A24" s="1">
        <f t="shared" si="0"/>
        <v>19</v>
      </c>
      <c r="B24" s="1" t="s">
        <v>236</v>
      </c>
      <c r="C24" s="15" t="s">
        <v>237</v>
      </c>
      <c r="D24" s="1" t="s">
        <v>228</v>
      </c>
      <c r="E24" s="15" t="s">
        <v>238</v>
      </c>
      <c r="F24" s="27"/>
      <c r="G24" s="1"/>
      <c r="H24" s="1"/>
    </row>
    <row r="25" spans="1:8" ht="32" customHeight="1">
      <c r="A25" s="1">
        <f t="shared" si="0"/>
        <v>20</v>
      </c>
      <c r="B25" s="1" t="s">
        <v>236</v>
      </c>
      <c r="C25" s="15" t="s">
        <v>237</v>
      </c>
      <c r="D25" s="1" t="s">
        <v>230</v>
      </c>
      <c r="E25" s="1" t="s">
        <v>239</v>
      </c>
      <c r="F25" s="4"/>
      <c r="G25" s="1"/>
      <c r="H25" s="1"/>
    </row>
    <row r="26" spans="1:8" ht="32" customHeight="1">
      <c r="A26" s="1">
        <f t="shared" si="0"/>
        <v>21</v>
      </c>
      <c r="B26" s="1" t="s">
        <v>236</v>
      </c>
      <c r="C26" s="15" t="s">
        <v>237</v>
      </c>
      <c r="D26" s="1" t="s">
        <v>240</v>
      </c>
      <c r="E26" s="15" t="s">
        <v>241</v>
      </c>
      <c r="F26" s="27"/>
      <c r="G26" s="1"/>
      <c r="H26" s="1"/>
    </row>
    <row r="27" spans="1:8" ht="80" customHeight="1">
      <c r="A27" s="1">
        <f t="shared" si="0"/>
        <v>22</v>
      </c>
      <c r="B27" s="1" t="s">
        <v>242</v>
      </c>
      <c r="C27" s="15" t="s">
        <v>243</v>
      </c>
      <c r="D27" s="1" t="s">
        <v>228</v>
      </c>
      <c r="E27" s="15" t="s">
        <v>244</v>
      </c>
      <c r="F27" s="27" t="s">
        <v>199</v>
      </c>
      <c r="G27" s="1" t="s">
        <v>282</v>
      </c>
      <c r="H27" s="1"/>
    </row>
    <row r="28" spans="1:8" ht="16">
      <c r="A28" s="1">
        <f>ROW()-5</f>
        <v>23</v>
      </c>
      <c r="B28" s="1" t="s">
        <v>242</v>
      </c>
      <c r="C28" s="15" t="s">
        <v>243</v>
      </c>
      <c r="D28" s="1" t="s">
        <v>230</v>
      </c>
      <c r="E28" s="1" t="s">
        <v>239</v>
      </c>
      <c r="F28" s="27" t="s">
        <v>199</v>
      </c>
      <c r="G28" s="1"/>
      <c r="H28"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42</v>
      </c>
      <c r="B1" s="3"/>
    </row>
    <row r="2" spans="1:19" ht="16" customHeight="1">
      <c r="A2" s="7"/>
      <c r="B2" s="3"/>
      <c r="P2" s="72" t="s">
        <v>1</v>
      </c>
      <c r="Q2" s="72" t="s">
        <v>2</v>
      </c>
      <c r="R2" s="72" t="s">
        <v>3</v>
      </c>
      <c r="S2" s="72" t="s">
        <v>4</v>
      </c>
    </row>
    <row r="3" spans="1:19">
      <c r="A3" s="79" t="s">
        <v>245</v>
      </c>
      <c r="B3" s="3"/>
      <c r="P3" s="32" t="str">
        <f>IF(各種設定!$G$11=0,"",各種設定!$G$11)</f>
        <v>ja</v>
      </c>
      <c r="Q3" s="32" t="str">
        <f>IF(各種設定!$G$12=0,"",各種設定!$G$12)</f>
        <v/>
      </c>
      <c r="R3" s="32" t="str">
        <f>IF(各種設定!$G$13=0,"",各種設定!$G$13)</f>
        <v/>
      </c>
      <c r="S3" s="32" t="str">
        <f>IF(各種設定!$G$14=0,"",各種設定!$G$14)</f>
        <v/>
      </c>
    </row>
    <row r="4" spans="1:19">
      <c r="A4" s="7"/>
      <c r="B4" s="3"/>
    </row>
    <row r="5" spans="1:19" ht="32" customHeight="1">
      <c r="A5" s="7"/>
      <c r="B5" s="28" t="s">
        <v>246</v>
      </c>
      <c r="C5" s="132" t="s">
        <v>247</v>
      </c>
      <c r="D5" s="133"/>
      <c r="E5" s="133"/>
      <c r="F5" s="133"/>
      <c r="G5" s="133"/>
      <c r="H5" s="133"/>
      <c r="I5" s="130" t="s">
        <v>248</v>
      </c>
      <c r="J5" s="131"/>
      <c r="K5" s="131"/>
      <c r="L5" s="131"/>
      <c r="M5" s="30" t="s">
        <v>249</v>
      </c>
      <c r="N5" s="50" t="s">
        <v>250</v>
      </c>
      <c r="O5" s="56" t="s">
        <v>37</v>
      </c>
      <c r="P5" s="132" t="s">
        <v>247</v>
      </c>
      <c r="Q5" s="131"/>
      <c r="R5" s="131"/>
      <c r="S5" s="131"/>
    </row>
    <row r="6" spans="1:19">
      <c r="B6" s="20" t="s">
        <v>193</v>
      </c>
      <c r="C6" s="26" t="s">
        <v>251</v>
      </c>
      <c r="D6" s="26" t="s">
        <v>193</v>
      </c>
      <c r="E6" s="22" t="s">
        <v>193</v>
      </c>
      <c r="F6" s="26" t="s">
        <v>193</v>
      </c>
      <c r="G6" s="22" t="s">
        <v>251</v>
      </c>
      <c r="H6" s="22" t="s">
        <v>251</v>
      </c>
      <c r="I6" s="24" t="s">
        <v>251</v>
      </c>
      <c r="J6" s="24" t="s">
        <v>251</v>
      </c>
      <c r="K6" s="24" t="s">
        <v>251</v>
      </c>
      <c r="L6" s="24" t="s">
        <v>251</v>
      </c>
      <c r="M6" s="31" t="s">
        <v>193</v>
      </c>
      <c r="N6" s="49" t="s">
        <v>251</v>
      </c>
      <c r="O6" s="21" t="s">
        <v>251</v>
      </c>
      <c r="P6" s="22" t="s">
        <v>251</v>
      </c>
      <c r="Q6" s="22" t="s">
        <v>251</v>
      </c>
      <c r="R6" s="22" t="s">
        <v>251</v>
      </c>
      <c r="S6" s="22" t="s">
        <v>251</v>
      </c>
    </row>
    <row r="7" spans="1:19" ht="32" customHeight="1">
      <c r="A7" s="4" t="s">
        <v>239</v>
      </c>
      <c r="B7" s="4" t="s">
        <v>44</v>
      </c>
      <c r="C7" s="5" t="s">
        <v>252</v>
      </c>
      <c r="D7" s="5" t="s">
        <v>253</v>
      </c>
      <c r="E7" s="5" t="s">
        <v>254</v>
      </c>
      <c r="F7" s="70" t="s">
        <v>77</v>
      </c>
      <c r="G7" s="5" t="s">
        <v>255</v>
      </c>
      <c r="H7" s="5" t="s">
        <v>256</v>
      </c>
      <c r="I7" s="5" t="s">
        <v>257</v>
      </c>
      <c r="J7" s="5" t="s">
        <v>258</v>
      </c>
      <c r="K7" s="5" t="s">
        <v>259</v>
      </c>
      <c r="L7" s="5" t="s">
        <v>260</v>
      </c>
      <c r="M7" s="5" t="s">
        <v>261</v>
      </c>
      <c r="N7" s="5" t="s">
        <v>262</v>
      </c>
      <c r="O7" s="5" t="s">
        <v>37</v>
      </c>
      <c r="P7" s="5" t="s">
        <v>263</v>
      </c>
      <c r="Q7" s="5" t="s">
        <v>264</v>
      </c>
      <c r="R7" s="5" t="s">
        <v>265</v>
      </c>
      <c r="S7" s="5" t="s">
        <v>266</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267</v>
      </c>
      <c r="D1" s="7"/>
    </row>
    <row r="3" spans="1:9" ht="16" customHeight="1">
      <c r="A3" s="3" t="s">
        <v>268</v>
      </c>
      <c r="F3" s="71" t="s">
        <v>1</v>
      </c>
      <c r="G3" s="71" t="s">
        <v>2</v>
      </c>
      <c r="H3" s="71" t="s">
        <v>3</v>
      </c>
      <c r="I3" s="71" t="s">
        <v>4</v>
      </c>
    </row>
    <row r="4" spans="1:9">
      <c r="A4" s="3" t="s">
        <v>269</v>
      </c>
      <c r="D4" s="52"/>
      <c r="F4" s="32" t="str">
        <f>IF(各種設定!$G$11=0,"",各種設定!$G$11)</f>
        <v>ja</v>
      </c>
      <c r="G4" s="32" t="str">
        <f>IF(各種設定!$G$12=0,"",各種設定!$G$12)</f>
        <v/>
      </c>
      <c r="H4" s="32" t="str">
        <f>IF(各種設定!$G$13=0,"",各種設定!$G$13)</f>
        <v/>
      </c>
      <c r="I4" s="32" t="str">
        <f>IF(各種設定!$G$14=0,"",各種設定!$G$14)</f>
        <v/>
      </c>
    </row>
    <row r="6" spans="1:9" ht="16" customHeight="1">
      <c r="A6" s="3" t="s">
        <v>239</v>
      </c>
      <c r="B6" s="3" t="s">
        <v>270</v>
      </c>
      <c r="C6" s="3" t="s">
        <v>271</v>
      </c>
      <c r="D6" s="3" t="s">
        <v>9</v>
      </c>
      <c r="E6" s="3" t="s">
        <v>37</v>
      </c>
      <c r="F6" s="77" t="s">
        <v>272</v>
      </c>
      <c r="G6" s="77" t="s">
        <v>273</v>
      </c>
      <c r="H6" s="77" t="s">
        <v>274</v>
      </c>
      <c r="I6" s="77" t="s">
        <v>275</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R119"/>
  <sheetViews>
    <sheetView zoomScaleNormal="100" zoomScaleSheetLayoutView="80" workbookViewId="0">
      <selection activeCell="A9" sqref="A9"/>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customWidth="1" outlineLevel="1"/>
    <col min="23" max="25" width="9.1640625" style="37" customWidth="1" outlineLevel="2"/>
    <col min="26" max="26" width="9.1640625" style="35" customWidth="1" outlineLevel="2"/>
    <col min="27" max="32" width="9.1640625" style="38" customWidth="1" outlineLevel="2"/>
    <col min="33" max="33" width="19.33203125" style="38" customWidth="1" outlineLevel="1"/>
    <col min="34" max="37" width="33.33203125" style="38" customWidth="1"/>
    <col min="38" max="38" width="9" style="38" customWidth="1"/>
    <col min="39" max="16384" width="9" style="38"/>
  </cols>
  <sheetData>
    <row r="1" spans="1:44">
      <c r="A1" s="34" t="s">
        <v>0</v>
      </c>
    </row>
    <row r="2" spans="1:44" ht="16" customHeight="1">
      <c r="AH2" s="72" t="s">
        <v>1</v>
      </c>
      <c r="AI2" s="72" t="s">
        <v>2</v>
      </c>
      <c r="AJ2" s="72" t="s">
        <v>3</v>
      </c>
      <c r="AK2" s="72" t="s">
        <v>4</v>
      </c>
    </row>
    <row r="3" spans="1:44">
      <c r="A3" s="52"/>
      <c r="AH3" s="32" t="str">
        <f>IF(各種設定!$G$11=0,"",各種設定!$G$11)</f>
        <v>ja</v>
      </c>
      <c r="AI3" s="32" t="str">
        <f>IF(各種設定!$G$12=0,"",各種設定!$G$12)</f>
        <v/>
      </c>
      <c r="AJ3" s="32" t="str">
        <f>IF(各種設定!$G$13=0,"",各種設定!$G$13)</f>
        <v/>
      </c>
      <c r="AK3" s="32" t="str">
        <f>IF(各種設定!$G$14=0,"",各種設定!$G$14)</f>
        <v/>
      </c>
    </row>
    <row r="4" spans="1:44">
      <c r="A4" s="34"/>
    </row>
    <row r="5" spans="1:44"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5" t="s">
        <v>37</v>
      </c>
      <c r="AH5" s="74" t="s">
        <v>38</v>
      </c>
      <c r="AI5" s="76" t="s">
        <v>39</v>
      </c>
      <c r="AJ5" s="76" t="s">
        <v>40</v>
      </c>
      <c r="AK5" s="76" t="s">
        <v>41</v>
      </c>
      <c r="AR5" s="41"/>
    </row>
    <row r="6" spans="1:44"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spans="1:44"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spans="1:44"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spans="1:44"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spans="1:44"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spans="1:44"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spans="1:44"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spans="1:44">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spans="1:4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spans="1:44">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spans="1:44">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spans="1:44">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spans="1:44">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spans="1:44">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spans="1:44">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spans="1:44">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spans="1:44"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spans="1:44"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spans="1:4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spans="1:44">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spans="1:44"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spans="1:44"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spans="1:44"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spans="1:44"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spans="1:44"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spans="1:44"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spans="1:44">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spans="1:44">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spans="1:44"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spans="1:44"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spans="1:44"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spans="1:44"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spans="1:44">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spans="1:44">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spans="1:44">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spans="1:44">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spans="1:44">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spans="1:44">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spans="1: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spans="1:44">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spans="1:44">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spans="1:44">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spans="1:44">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spans="1:37">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spans="1:37">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spans="1:37">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spans="1:37">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spans="1:37">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spans="1:37">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spans="1:37">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spans="1:37">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spans="1:3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spans="1:37">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spans="1:37">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spans="1:37">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spans="1:37">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spans="1:37">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spans="1:37">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spans="1:37">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spans="1:37"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spans="1:37">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spans="1:3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spans="1:37"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spans="1:37"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spans="1:37">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spans="1:37">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spans="1:37">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spans="1:37">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spans="1:37">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spans="1:37">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spans="1:37">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spans="1:3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spans="1:37"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spans="1:37">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spans="1:37">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spans="1:37">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spans="1:37">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spans="1:37">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spans="1:37">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spans="1:37">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spans="1:37">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spans="1:3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spans="1:37">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spans="1:37">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spans="1:37">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spans="1:37">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spans="1:37">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spans="1:37">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spans="1:37">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spans="1:37">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spans="1:37">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spans="1:3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spans="1:37">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spans="1:37">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spans="1:37">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spans="1:37">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spans="1:37">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spans="1:37">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spans="1:37">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spans="1:37">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spans="1:37">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spans="1:3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spans="1:37">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spans="1:37">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spans="1:37">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spans="1:37">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spans="1:37">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spans="1:37">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spans="1:37">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spans="1:37">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spans="1:37">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spans="1:3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spans="1:37">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spans="1:37">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V6:V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4.33203125" style="37" customWidth="1" outlineLevel="2"/>
    <col min="19" max="19" width="29" style="37" customWidth="1" outlineLevel="2"/>
    <col min="20" max="21" width="18.33203125" style="37" customWidth="1" outlineLevel="2"/>
    <col min="22" max="22" width="17.1640625" style="37" bestFit="1" customWidth="1" outlineLevel="1"/>
    <col min="23" max="24" width="9.1640625" style="37" hidden="1" customWidth="1" outlineLevel="2"/>
    <col min="25" max="25" width="9.33203125" style="37" hidden="1" customWidth="1" outlineLevel="2"/>
    <col min="26" max="26" width="37.5" style="35" hidden="1" customWidth="1" outlineLevel="2"/>
    <col min="27" max="32" width="19.33203125" style="38" hidden="1" customWidth="1" outlineLevel="2"/>
    <col min="33" max="33" width="19.33203125" style="38" customWidth="1" outlineLevel="1" collapsed="1"/>
    <col min="34" max="37" width="19.33203125" style="38" customWidth="1"/>
  </cols>
  <sheetData>
    <row r="1" spans="1:37">
      <c r="A1" s="7" t="s">
        <v>276</v>
      </c>
    </row>
    <row r="2" spans="1:37" ht="16" customHeight="1">
      <c r="AH2" s="72" t="s">
        <v>1</v>
      </c>
      <c r="AI2" s="72" t="s">
        <v>2</v>
      </c>
      <c r="AJ2" s="72" t="s">
        <v>3</v>
      </c>
      <c r="AK2" s="72" t="s">
        <v>4</v>
      </c>
    </row>
    <row r="3" spans="1:37">
      <c r="A3" s="52"/>
      <c r="AH3" s="32" t="str">
        <f>IF(各種設定!$G$11=0,"",各種設定!$G$11)</f>
        <v>ja</v>
      </c>
      <c r="AI3" s="32" t="str">
        <f>IF(各種設定!$G$12=0,"",各種設定!$G$12)</f>
        <v/>
      </c>
      <c r="AJ3" s="32" t="str">
        <f>IF(各種設定!$G$13=0,"",各種設定!$G$13)</f>
        <v/>
      </c>
      <c r="AK3" s="32" t="str">
        <f>IF(各種設定!$G$14=0,"",各種設定!$G$14)</f>
        <v/>
      </c>
    </row>
    <row r="4" spans="1:37">
      <c r="A4" s="34"/>
    </row>
    <row r="5" spans="1:37"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109" t="s">
        <v>27</v>
      </c>
      <c r="X5" s="109" t="s">
        <v>28</v>
      </c>
      <c r="Y5" s="109" t="s">
        <v>29</v>
      </c>
      <c r="Z5" s="109" t="s">
        <v>30</v>
      </c>
      <c r="AA5" s="109" t="s">
        <v>31</v>
      </c>
      <c r="AB5" s="109" t="s">
        <v>32</v>
      </c>
      <c r="AC5" s="109" t="s">
        <v>33</v>
      </c>
      <c r="AD5" s="109" t="s">
        <v>34</v>
      </c>
      <c r="AE5" s="109" t="s">
        <v>35</v>
      </c>
      <c r="AF5" s="109" t="s">
        <v>36</v>
      </c>
      <c r="AG5" s="75" t="s">
        <v>37</v>
      </c>
      <c r="AH5" s="74" t="s">
        <v>38</v>
      </c>
      <c r="AI5" s="76" t="s">
        <v>39</v>
      </c>
      <c r="AJ5" s="76" t="s">
        <v>40</v>
      </c>
      <c r="AK5" s="76" t="s">
        <v>41</v>
      </c>
    </row>
    <row r="6" spans="1:37"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spans="1:37"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spans="1:37"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spans="1:37">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spans="1:37">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spans="1:37">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spans="1:37">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spans="1:37">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type="list" allowBlank="1" showInputMessage="1" showErrorMessage="1" sqref="V6:V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277</v>
      </c>
    </row>
    <row r="2" spans="1:5" ht="16" customHeight="1">
      <c r="B2" s="72" t="s">
        <v>1</v>
      </c>
      <c r="C2" s="72" t="s">
        <v>2</v>
      </c>
      <c r="D2" s="72" t="s">
        <v>3</v>
      </c>
      <c r="E2" s="72" t="s">
        <v>4</v>
      </c>
    </row>
    <row r="3" spans="1:5">
      <c r="B3" s="32" t="str">
        <f>IF(各種設定!$G$11=0,"",各種設定!$G$11)</f>
        <v>ja</v>
      </c>
      <c r="C3" s="32" t="str">
        <f>IF(各種設定!$G$12=0,"",各種設定!$G$12)</f>
        <v/>
      </c>
      <c r="D3" s="32" t="str">
        <f>IF(各種設定!$G$13=0,"",各種設定!$G$13)</f>
        <v/>
      </c>
      <c r="E3" s="32" t="str">
        <f>IF(各種設定!$G$14=0,"",各種設定!$G$14)</f>
        <v/>
      </c>
    </row>
    <row r="5" spans="1:5">
      <c r="A5" s="112" t="s">
        <v>5</v>
      </c>
      <c r="B5" s="113" t="s">
        <v>278</v>
      </c>
      <c r="C5" s="114" t="s">
        <v>279</v>
      </c>
      <c r="D5" s="114" t="s">
        <v>280</v>
      </c>
      <c r="E5" s="114" t="s">
        <v>281</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2026-08-22T19:03:10Z</dcterms:modified>
</cp:coreProperties>
</file>