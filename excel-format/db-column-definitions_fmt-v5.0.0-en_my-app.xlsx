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osuke.tanaka/Desktop/development/git/ecuacion-tool-code-generator/excel-format/"/>
    </mc:Choice>
  </mc:AlternateContent>
  <xr:revisionPtr revIDLastSave="0" documentId="13_ncr:1_{85311384-5ABC-1A4E-996E-CB96299EFD65}" xr6:coauthVersionLast="47" xr6:coauthVersionMax="47" xr10:uidLastSave="{00000000-0000-0000-0000-000000000000}"/>
  <bookViews>
    <workbookView xWindow="0" yWindow="660" windowWidth="29400" windowHeight="17500" tabRatio="853" activeTab="5" xr2:uid="{00000000-000D-0000-FFFF-FFFF00000000}"/>
  </bookViews>
  <sheets>
    <sheet name="dataType Dropdown Items" sheetId="1" state="hidden" r:id="rId1"/>
    <sheet name="dataType Data Pattern List" sheetId="2" state="hidden" r:id="rId2"/>
    <sheet name="FK Types" sheetId="3" state="hidden" r:id="rId3"/>
    <sheet name="Format Change History" sheetId="4" r:id="rId4"/>
    <sheet name="General Settings" sheetId="5" r:id="rId5"/>
    <sheet name="dataType Definition" sheetId="6" r:id="rId6"/>
    <sheet name="Enum Definition" sheetId="7" r:id="rId7"/>
    <sheet name="DB Item Definition" sheetId="8" r:id="rId8"/>
    <sheet name="DB Common Item Definition" sheetId="9" r:id="rId9"/>
    <sheet name="Table List" sheetId="10" r:id="rId10"/>
  </sheets>
  <externalReferences>
    <externalReference r:id="rId11"/>
  </externalReferences>
  <definedNames>
    <definedName name="general">'dataType Dropdown Items'!$A$3:$A$18</definedName>
    <definedName name="_xlnm.Print_Area" localSheetId="7">'DB Item Definition'!$A$1:$AA$5</definedName>
    <definedName name="一般">[1]dataTypeプルダウン項目!$A$3:$A$16</definedName>
    <definedName name="固定フォーマット">[1]dataTypeプルダウン項目!#REF!</definedName>
    <definedName name="日時">[1]dataTypeプルダウン項目!#REF!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8" i="5" l="1"/>
  <c r="A21" i="5"/>
  <c r="A6" i="10" a="1"/>
  <c r="E3" i="10"/>
  <c r="D3" i="10"/>
  <c r="C3" i="10"/>
  <c r="B3" i="10"/>
  <c r="D8" i="8"/>
  <c r="D7" i="8"/>
  <c r="D6" i="8"/>
  <c r="AL3" i="8"/>
  <c r="AK3" i="8"/>
  <c r="AJ3" i="8"/>
  <c r="AI3" i="8"/>
  <c r="I4" i="7"/>
  <c r="H4" i="7"/>
  <c r="G4" i="7"/>
  <c r="F4" i="7"/>
  <c r="F10" i="6"/>
  <c r="F9" i="6"/>
  <c r="F8" i="6"/>
  <c r="T3" i="6"/>
  <c r="S3" i="6"/>
  <c r="R3" i="6"/>
  <c r="Q3" i="6"/>
  <c r="A27" i="5"/>
  <c r="A26" i="5"/>
  <c r="A25" i="5"/>
  <c r="A24" i="5"/>
  <c r="A23" i="5"/>
  <c r="A22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D8" i="9"/>
  <c r="D7" i="9"/>
  <c r="D6" i="9"/>
  <c r="AL3" i="9"/>
  <c r="AK3" i="9"/>
  <c r="AJ3" i="9"/>
  <c r="AI3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5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short、int、Long、float, double, BigInteger、BigDecimalの場合
※beanValidationの仕様としては、byte型も上記2つのannotationで使用可能だが、codegeneratorとしては除外している。必要なら追加</t>
        </r>
      </text>
    </comment>
    <comment ref="L7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BigDecimalの場合のみ記載可。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1">
    <bk>
      <extLst>
        <ext uri="{3e2802c4-a4d2-4d8b-9148-e3be6c30e623}">
          <xlrd:rvb i="0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">
    <bk>
      <rc t="1" v="0"/>
    </bk>
  </valueMetadata>
</metadata>
</file>

<file path=xl/sharedStrings.xml><?xml version="1.0" encoding="utf-8"?>
<sst xmlns="http://schemas.openxmlformats.org/spreadsheetml/2006/main" count="371" uniqueCount="219">
  <si>
    <t>DB Common Item Definition</t>
  </si>
  <si>
    <t>Default Language</t>
  </si>
  <si>
    <t>Additional Language 1</t>
  </si>
  <si>
    <t>Additional Language 2</t>
  </si>
  <si>
    <t>Additional Language 3</t>
  </si>
  <si>
    <t>Table Name</t>
  </si>
  <si>
    <t>Column Name</t>
  </si>
  <si>
    <t>dataType</t>
  </si>
  <si>
    <t>dataType Check</t>
  </si>
  <si>
    <t>Java Only</t>
  </si>
  <si>
    <t xml:space="preserve">Surrogate key </t>
  </si>
  <si>
    <t>natural key (unique key)</t>
  </si>
  <si>
    <t>nullable</t>
  </si>
  <si>
    <t>Auto Numbering</t>
  </si>
  <si>
    <t>Force Numbering</t>
  </si>
  <si>
    <t>Auto Update</t>
  </si>
  <si>
    <t>Force Update</t>
  </si>
  <si>
    <t>Group Identifier</t>
  </si>
  <si>
    <t>Spring Audit</t>
  </si>
  <si>
    <t>Relation: Type</t>
  </si>
  <si>
    <t>Relation: Direction</t>
  </si>
  <si>
    <t>Relation: Source Var Name</t>
  </si>
  <si>
    <t>Relation: Target Table</t>
  </si>
  <si>
    <t>Relation: Target Column</t>
  </si>
  <si>
    <t>Relation: Target Var Name</t>
  </si>
  <si>
    <t>Relation: Eager</t>
  </si>
  <si>
    <t>index1</t>
  </si>
  <si>
    <t>index2</t>
  </si>
  <si>
    <t>index3</t>
  </si>
  <si>
    <t>index4</t>
  </si>
  <si>
    <t>index5</t>
  </si>
  <si>
    <t>index6</t>
  </si>
  <si>
    <t>index7</t>
  </si>
  <si>
    <t>index8</t>
  </si>
  <si>
    <t>index9</t>
  </si>
  <si>
    <t>index10</t>
  </si>
  <si>
    <t>Notes</t>
  </si>
  <si>
    <t>Column Display Name (Default Lang)</t>
  </si>
  <si>
    <t>Column Display Name (Additional Lang 1)</t>
  </si>
  <si>
    <t>Column Display Name (Additional Lang 2)</t>
  </si>
  <si>
    <t>Column Display Name (Additional Lang 3)</t>
  </si>
  <si>
    <t>dataType Definition</t>
  </si>
  <si>
    <t>General</t>
  </si>
  <si>
    <t>Type</t>
  </si>
  <si>
    <t>FRAMEWORK_KIND</t>
  </si>
  <si>
    <t>All Characters</t>
  </si>
  <si>
    <t>STRING</t>
  </si>
  <si>
    <t>Spring Framework</t>
  </si>
  <si>
    <t>Full-width</t>
  </si>
  <si>
    <t>INTEGER</t>
  </si>
  <si>
    <t>Half-width</t>
  </si>
  <si>
    <t>SHORT</t>
  </si>
  <si>
    <t>Half-width Numeric</t>
  </si>
  <si>
    <t>LONG</t>
  </si>
  <si>
    <t>Uppercase</t>
  </si>
  <si>
    <t>FLOAT</t>
  </si>
  <si>
    <t>Uppercase + Underscore</t>
  </si>
  <si>
    <t>DOUBLE</t>
  </si>
  <si>
    <t>Lowercase</t>
  </si>
  <si>
    <t>BIG_INTEGER</t>
  </si>
  <si>
    <t>Lowercase + Underscore</t>
  </si>
  <si>
    <t>BIG_DECIMAL</t>
  </si>
  <si>
    <t>Numeric + Uppercase</t>
  </si>
  <si>
    <t>YEAR_MONTH</t>
  </si>
  <si>
    <t>Numeric + Uppercase + Underscore</t>
  </si>
  <si>
    <t>DATE</t>
  </si>
  <si>
    <t>Numeric + Lowercase</t>
  </si>
  <si>
    <t>TIME</t>
  </si>
  <si>
    <t>Numeric + Lowercase + Underscore</t>
  </si>
  <si>
    <t>DATE_TIME</t>
  </si>
  <si>
    <t>Alphanumeric</t>
  </si>
  <si>
    <t>TIMESTAMP</t>
  </si>
  <si>
    <t>Alphanumeric + Underscore</t>
  </si>
  <si>
    <t>ENUM</t>
  </si>
  <si>
    <t>BOOLEAN</t>
  </si>
  <si>
    <t>※"jakarta EE" assumued but not ready</t>
  </si>
  <si>
    <t>Data Pattern</t>
  </si>
  <si>
    <t>enumValue</t>
  </si>
  <si>
    <t>REG_EX_ALL</t>
  </si>
  <si>
    <t>REG_EX_HAN</t>
  </si>
  <si>
    <t>REG_EX_HAN_NUM</t>
  </si>
  <si>
    <t>REG_EX_HAN_UC</t>
  </si>
  <si>
    <t>REG_EX_HAN_UC_US</t>
  </si>
  <si>
    <t>REG_EX_HAN_LC</t>
  </si>
  <si>
    <t>REG_EX_HAN_LC_US</t>
  </si>
  <si>
    <t>REG_EX_HAN_NUM_UC</t>
  </si>
  <si>
    <t>REG_EX_HAN_NUM_UC_US</t>
  </si>
  <si>
    <t>REG_EX_HAN_NUM_LC</t>
  </si>
  <si>
    <t>REG_EX_HAN_NUM_LC_US</t>
  </si>
  <si>
    <t>REG_EX_HAN_NUM_UC_LC</t>
  </si>
  <si>
    <t>REG_EX_HAN_NUM_UC_LC_US</t>
  </si>
  <si>
    <t>REG_EX_ZEN</t>
  </si>
  <si>
    <t>FK Type (Japanese)</t>
  </si>
  <si>
    <t>FK Type</t>
  </si>
  <si>
    <t>Direction</t>
  </si>
  <si>
    <t>Source 1 - Target 1 (unidirectional)</t>
  </si>
  <si>
    <t>OneToOne</t>
  </si>
  <si>
    <t>unidirectional</t>
  </si>
  <si>
    <t>Source 1 - Target 1 (bidirectional)</t>
  </si>
  <si>
    <t>bidirectional</t>
  </si>
  <si>
    <t>Source N - Target 1 (unidirectional)</t>
  </si>
  <si>
    <t>ManyToOne</t>
  </si>
  <si>
    <t>* The following are not supported by the framework due to performance concerns</t>
  </si>
  <si>
    <t>Source 1 - Target N (unidirectional)</t>
  </si>
  <si>
    <t>Source N - Target 1 / Source 1 - Target N (bidirectional)</t>
  </si>
  <si>
    <t>Source M - Target N (unidirectional)</t>
  </si>
  <si>
    <t>Source M - Target N (bidirectional)</t>
  </si>
  <si>
    <t>Format Change History</t>
  </si>
  <si>
    <t>Date</t>
  </si>
  <si>
    <t>Version</t>
  </si>
  <si>
    <t>Changes</t>
  </si>
  <si>
    <t>Changed By</t>
  </si>
  <si>
    <t>v5.0.0</t>
  </si>
  <si>
    <t>Y.Tanaka</t>
  </si>
  <si>
    <t>General Settings</t>
  </si>
  <si>
    <t>* Fill in the "Value" and "Notes" columns only. Do not modify other columns. "Notes" is optional (no system impact).</t>
  </si>
  <si>
    <t>#</t>
  </si>
  <si>
    <t>Category</t>
  </si>
  <si>
    <t>Category Name</t>
  </si>
  <si>
    <t>Key</t>
  </si>
  <si>
    <t>Description</t>
  </si>
  <si>
    <t>Required</t>
  </si>
  <si>
    <t>Value</t>
  </si>
  <si>
    <t>SYSTEM_COMMON</t>
  </si>
  <si>
    <t>System Common</t>
  </si>
  <si>
    <t>TEMPLATE_VERSION</t>
  </si>
  <si>
    <t>Template version of this Excel file</t>
  </si>
  <si>
    <t>◯</t>
  </si>
  <si>
    <t>5.0.0</t>
  </si>
  <si>
    <t>SYSTEM_NAME</t>
  </si>
  <si>
    <t>System name
* Used as the parent folder name for auto-generated source files</t>
  </si>
  <si>
    <t>BASE_PACKAGE</t>
  </si>
  <si>
    <t>Common part of the package name</t>
  </si>
  <si>
    <t>Framework type
* Generated code differs depending on the specified type</t>
  </si>
  <si>
    <t>CHARSET</t>
  </si>
  <si>
    <t>Source code character encoding ("UTF-8" recommended)</t>
  </si>
  <si>
    <t>LANG_DEFAULT</t>
  </si>
  <si>
    <t>Default language
* Specify a locale string such as "en". "en_US" etc. are also supported.</t>
  </si>
  <si>
    <t>LANG_SUPPORT_01</t>
  </si>
  <si>
    <t>Support language 1
* Enter support languages in order 1, 2, 3. Having 1 empty while 2 is filled will cause an error.</t>
  </si>
  <si>
    <t>LANG_SUPPORT_02</t>
  </si>
  <si>
    <t>Support language 2</t>
  </si>
  <si>
    <t>LANG_SUPPORT_03</t>
  </si>
  <si>
    <t>Support language 3</t>
  </si>
  <si>
    <t>PROHIBITED_CHARS</t>
  </si>
  <si>
    <t>Prohibited characters</t>
  </si>
  <si>
    <t>PROHIBITED_CHARS_DESC_LANG_DEFAULT</t>
  </si>
  <si>
    <t>Prohibited chars pattern description (default language)
* Required when "Prohibited characters" is not empty.</t>
  </si>
  <si>
    <t>PROHIBITED_CHARS_DESC_LANG_SUPPORT_01</t>
  </si>
  <si>
    <t>Prohibited chars pattern description (additional language 1)
* Required when "Prohibited characters" and "Support language 1" are both not empty.</t>
  </si>
  <si>
    <t>PROHIBITED_CHARS_DESC_LANG_SUPPORT_02</t>
  </si>
  <si>
    <t>Prohibited chars pattern description (additional language 2)
* Required when "Prohibited characters" and "Support language 2" are both not empty.</t>
  </si>
  <si>
    <t>PROHIBITED_CHARS_DESC_LANG_SUPPORT_03</t>
  </si>
  <si>
    <t>Prohibited chars pattern description (additional language 3)
* Required when "Prohibited characters" and "Support language 3" are both not empty.</t>
  </si>
  <si>
    <t>LOGICAL_DELETE</t>
  </si>
  <si>
    <t>Logical Delete</t>
  </si>
  <si>
    <t>COLUMN_NAME</t>
  </si>
  <si>
    <t>Column name for logical delete flag
* Leave blank if not using logical delete (leave all subsequent "Logical Delete" entries blank too).
* Any column with this name is treated as a logical-delete column; rename it if used for other purposes.
* To use logical delete, define this column in "DB Item Definition" or "DB Common Item Definition".</t>
  </si>
  <si>
    <t>DATA_TYPE_NAME</t>
  </si>
  <si>
    <t>DataType Name
* Only BOOLEAN type DataTypes are supported in this version.</t>
  </si>
  <si>
    <t>DEFAULT_VALUE</t>
  </si>
  <si>
    <t>Initial value (before logical delete)
* Specify true/false for BOOLEAN type DataType.</t>
  </si>
  <si>
    <t>UPDATE_VALUE</t>
  </si>
  <si>
    <t>Update value (after logical delete)
* See "DEFAULT_VALUE" for notation.</t>
  </si>
  <si>
    <t>GROUPING</t>
  </si>
  <si>
    <t>Group Access Restriction Settings</t>
  </si>
  <si>
    <t>Column name for group restriction
* Leave blank if not using group restriction (leave all subsequent entries blank too).
* Any column with this name is treated as a group column; rename it if used for other purposes.
* To use this feature, define this column in "DB Item Definition" or "DB Common Item Definition".
* A separate column can be designated as the group identifier via the "Group Identifier" checkbox.</t>
  </si>
  <si>
    <t>DataType Name</t>
  </si>
  <si>
    <t>TABLE_NAMES_WITHOUT_GROUPING</t>
  </si>
  <si>
    <t>Explicitly list tables without group settings to prevent accidental omissions.
* Specify multiple tables in CSV format: "TABLE_1,TABLE_2".</t>
  </si>
  <si>
    <t>OPTIMISTIC_LOCKING</t>
  </si>
  <si>
    <t>Optimistic Locking</t>
  </si>
  <si>
    <t>Column name for optimistic locking
* Leave blank if not using optimistic locking (leave all subsequent entries blank too).
* Any column with this name is treated as an optimistic lock column; rename it if used for other purposes.</t>
  </si>
  <si>
    <t>* DataType name prefix is fixed as "DT_"</t>
  </si>
  <si>
    <t>Common</t>
  </si>
  <si>
    <t>Input Fields for STRING</t>
  </si>
  <si>
    <t>Input Fields for Numeric Types</t>
  </si>
  <si>
    <t>For
Enum</t>
  </si>
  <si>
    <t>For
Date/Time</t>
  </si>
  <si>
    <t>Optional</t>
  </si>
  <si>
    <t>Min Length</t>
  </si>
  <si>
    <t>Max Length</t>
  </si>
  <si>
    <t>Data Pattern (display name)</t>
  </si>
  <si>
    <t>Exclude Prohibited Chars Check</t>
  </si>
  <si>
    <t>Regex</t>
  </si>
  <si>
    <t>Min Value</t>
  </si>
  <si>
    <t>Max Value</t>
  </si>
  <si>
    <t>Integer Digits</t>
  </si>
  <si>
    <t>Decimal Digits</t>
  </si>
  <si>
    <t>Code Length</t>
  </si>
  <si>
    <t>No Timezone</t>
  </si>
  <si>
    <t>Pattern Desc (Default Lang)</t>
  </si>
  <si>
    <t>Pattern Desc (Additional Lang 1)</t>
  </si>
  <si>
    <t>Pattern Desc (Additional Lang 2)</t>
  </si>
  <si>
    <t>Pattern Desc (Additional Lang 3)</t>
  </si>
  <si>
    <t>Enum Definition</t>
  </si>
  <si>
    <t>* Enum class names are auto-generated from the DataType name.</t>
  </si>
  <si>
    <t xml:space="preserve">    Ex: DT_TRANSACTION_STATUS → Enum class name: TransactionStatusEnum</t>
  </si>
  <si>
    <t>code</t>
  </si>
  <si>
    <t>varName</t>
  </si>
  <si>
    <t>Display Name (Default Lang)</t>
  </si>
  <si>
    <t>Display Name (Additional Lang 1)</t>
  </si>
  <si>
    <t>Display Name (Additional Lang 2)</t>
  </si>
  <si>
    <t>Display Name (Additional Lang 3)</t>
  </si>
  <si>
    <t>DB Item Definition</t>
  </si>
  <si>
    <t>Table List</t>
  </si>
  <si>
    <t>Table Display Name (Default Lang)</t>
  </si>
  <si>
    <t>Table Display Name (Additional Lang 1)</t>
  </si>
  <si>
    <t>Table Display Name (Additional Lang 2)</t>
  </si>
  <si>
    <t>Table Display Name (Additional Lang 3)</t>
  </si>
  <si>
    <t>VERSION</t>
  </si>
  <si>
    <t>UTF-8</t>
  </si>
  <si>
    <t>en</t>
  </si>
  <si>
    <t>Relation: Source Var itemNameKeyClass</t>
  </si>
  <si>
    <t>Relation: Target Var itemNameKeyClass</t>
  </si>
  <si>
    <t>■Version Information
- Supported code-generator version: 15.0.0-beta.4 or later
■Change Description
- Added English version of the Excel template</t>
  </si>
  <si>
    <t>BINARY</t>
  </si>
  <si>
    <t>Max Size [MB]</t>
  </si>
  <si>
    <t>For Binary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</si>
</sst>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b/>
      <u/>
      <sz val="11"/>
      <color theme="1"/>
      <name val="Calibri"/>
      <family val="3"/>
      <charset val="128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3"/>
      <charset val="128"/>
      <scheme val="minor"/>
    </font>
    <font>
      <b/>
      <u/>
      <sz val="11"/>
      <color theme="1"/>
      <name val="Calibri"/>
      <family val="3"/>
      <charset val="128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36"/>
      <color rgb="FF212121"/>
      <name val="Inherit"/>
      <family val="2"/>
    </font>
    <font>
      <sz val="11"/>
      <color rgb="FF000000"/>
      <name val="Calibri"/>
      <family val="2"/>
      <charset val="128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111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 applyProtection="1">
      <alignment vertical="center"/>
      <protection locked="0"/>
    </xf>
    <xf numFmtId="49" fontId="3" fillId="0" borderId="0" xfId="0" applyNumberFormat="1" applyFont="1" applyProtection="1"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49" fontId="0" fillId="0" borderId="0" xfId="0" applyNumberFormat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3" fillId="0" borderId="0" xfId="0" applyFont="1"/>
    <xf numFmtId="14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5" borderId="0" xfId="0" applyFill="1" applyAlignment="1">
      <alignment horizontal="center"/>
    </xf>
    <xf numFmtId="49" fontId="0" fillId="5" borderId="0" xfId="0" applyNumberFormat="1" applyFill="1" applyAlignment="1">
      <alignment horizontal="center"/>
    </xf>
    <xf numFmtId="49" fontId="0" fillId="7" borderId="0" xfId="0" applyNumberFormat="1" applyFill="1" applyAlignment="1">
      <alignment horizontal="center"/>
    </xf>
    <xf numFmtId="49" fontId="0" fillId="0" borderId="0" xfId="0" applyNumberFormat="1" applyAlignment="1">
      <alignment vertical="center" wrapText="1"/>
    </xf>
    <xf numFmtId="49" fontId="0" fillId="4" borderId="0" xfId="0" applyNumberFormat="1" applyFill="1"/>
    <xf numFmtId="49" fontId="0" fillId="0" borderId="0" xfId="0" applyNumberFormat="1" applyAlignment="1" applyProtection="1">
      <alignment horizontal="left" vertical="center" wrapText="1"/>
      <protection locked="0"/>
    </xf>
    <xf numFmtId="0" fontId="0" fillId="7" borderId="0" xfId="0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49" fontId="3" fillId="0" borderId="0" xfId="0" applyNumberFormat="1" applyFont="1" applyAlignment="1" applyProtection="1">
      <alignment vertical="center"/>
      <protection locked="0"/>
    </xf>
    <xf numFmtId="49" fontId="0" fillId="11" borderId="0" xfId="0" applyNumberFormat="1" applyFill="1" applyAlignment="1">
      <alignment horizontal="center" vertical="center" wrapText="1"/>
    </xf>
    <xf numFmtId="49" fontId="0" fillId="10" borderId="0" xfId="0" applyNumberFormat="1" applyFill="1" applyAlignment="1">
      <alignment horizontal="center"/>
    </xf>
    <xf numFmtId="0" fontId="0" fillId="0" borderId="4" xfId="0" applyBorder="1"/>
    <xf numFmtId="49" fontId="0" fillId="0" borderId="0" xfId="0" applyNumberFormat="1" applyAlignment="1">
      <alignment horizontal="left" vertical="center" wrapText="1"/>
    </xf>
    <xf numFmtId="49" fontId="7" fillId="0" borderId="0" xfId="0" applyNumberFormat="1" applyFont="1" applyProtection="1">
      <protection locked="0"/>
    </xf>
    <xf numFmtId="49" fontId="8" fillId="0" borderId="0" xfId="0" applyNumberFormat="1" applyFont="1" applyProtection="1">
      <protection locked="0"/>
    </xf>
    <xf numFmtId="0" fontId="8" fillId="0" borderId="0" xfId="0" applyFont="1" applyAlignment="1" applyProtection="1">
      <alignment horizontal="center"/>
      <protection locked="0"/>
    </xf>
    <xf numFmtId="49" fontId="8" fillId="0" borderId="0" xfId="0" applyNumberFormat="1" applyFont="1" applyAlignment="1" applyProtection="1">
      <alignment horizontal="center"/>
      <protection locked="0"/>
    </xf>
    <xf numFmtId="0" fontId="8" fillId="0" borderId="0" xfId="0" applyFont="1"/>
    <xf numFmtId="49" fontId="8" fillId="0" borderId="0" xfId="0" applyNumberFormat="1" applyFont="1" applyAlignment="1" applyProtection="1">
      <alignment horizontal="center" vertical="center"/>
      <protection locked="0"/>
    </xf>
    <xf numFmtId="0" fontId="8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49" fontId="8" fillId="0" borderId="0" xfId="0" applyNumberFormat="1" applyFont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0" fillId="0" borderId="0" xfId="0" applyAlignment="1">
      <alignment wrapText="1"/>
    </xf>
    <xf numFmtId="0" fontId="0" fillId="0" borderId="5" xfId="0" applyBorder="1"/>
    <xf numFmtId="49" fontId="0" fillId="0" borderId="3" xfId="0" applyNumberFormat="1" applyBorder="1" applyAlignment="1">
      <alignment horizontal="center" vertical="center"/>
    </xf>
    <xf numFmtId="49" fontId="0" fillId="13" borderId="0" xfId="0" applyNumberFormat="1" applyFill="1" applyAlignment="1">
      <alignment horizontal="center"/>
    </xf>
    <xf numFmtId="49" fontId="0" fillId="12" borderId="0" xfId="0" applyNumberFormat="1" applyFill="1" applyAlignment="1">
      <alignment horizontal="center" vertical="center" wrapText="1"/>
    </xf>
    <xf numFmtId="0" fontId="11" fillId="0" borderId="0" xfId="0" applyFont="1" applyAlignment="1">
      <alignment vertical="center"/>
    </xf>
    <xf numFmtId="49" fontId="1" fillId="0" borderId="0" xfId="0" applyNumberFormat="1" applyFont="1" applyAlignment="1" applyProtection="1">
      <alignment horizontal="left" vertical="center"/>
      <protection locked="0"/>
    </xf>
    <xf numFmtId="49" fontId="0" fillId="2" borderId="0" xfId="0" applyNumberFormat="1" applyFill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wrapText="1"/>
    </xf>
    <xf numFmtId="0" fontId="0" fillId="9" borderId="0" xfId="0" applyFill="1" applyAlignment="1">
      <alignment horizontal="center" vertical="center" wrapText="1"/>
    </xf>
    <xf numFmtId="49" fontId="5" fillId="9" borderId="4" xfId="0" applyNumberFormat="1" applyFont="1" applyFill="1" applyBorder="1" applyAlignment="1">
      <alignment wrapText="1"/>
    </xf>
    <xf numFmtId="49" fontId="9" fillId="9" borderId="4" xfId="0" applyNumberFormat="1" applyFont="1" applyFill="1" applyBorder="1" applyAlignment="1">
      <alignment wrapText="1"/>
    </xf>
    <xf numFmtId="0" fontId="0" fillId="9" borderId="0" xfId="0" applyFill="1" applyAlignment="1" applyProtection="1">
      <alignment horizontal="center" vertical="center" wrapText="1"/>
      <protection locked="0"/>
    </xf>
    <xf numFmtId="49" fontId="8" fillId="0" borderId="0" xfId="0" applyNumberFormat="1" applyFont="1" applyAlignment="1" applyProtection="1">
      <alignment horizontal="center" vertical="center" wrapText="1"/>
      <protection locked="0"/>
    </xf>
    <xf numFmtId="49" fontId="0" fillId="0" borderId="0" xfId="0" applyNumberFormat="1" applyAlignment="1" applyProtection="1">
      <alignment horizontal="center" vertical="center" wrapText="1"/>
      <protection locked="0"/>
    </xf>
    <xf numFmtId="49" fontId="8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0" fillId="9" borderId="0" xfId="0" applyFill="1" applyAlignment="1">
      <alignment horizontal="center"/>
    </xf>
    <xf numFmtId="0" fontId="1" fillId="0" borderId="0" xfId="1" applyFont="1">
      <alignment vertical="center"/>
    </xf>
    <xf numFmtId="49" fontId="1" fillId="14" borderId="5" xfId="0" applyNumberFormat="1" applyFont="1" applyFill="1" applyBorder="1" applyAlignment="1">
      <alignment horizontal="left" vertical="center" wrapText="1"/>
    </xf>
    <xf numFmtId="49" fontId="0" fillId="14" borderId="3" xfId="0" applyNumberFormat="1" applyFill="1" applyBorder="1" applyAlignment="1">
      <alignment vertical="center"/>
    </xf>
    <xf numFmtId="49" fontId="1" fillId="14" borderId="3" xfId="0" applyNumberFormat="1" applyFont="1" applyFill="1" applyBorder="1" applyAlignment="1">
      <alignment horizontal="left" vertical="center"/>
    </xf>
    <xf numFmtId="49" fontId="0" fillId="14" borderId="3" xfId="0" applyNumberFormat="1" applyFill="1" applyBorder="1" applyAlignment="1">
      <alignment horizontal="center"/>
    </xf>
    <xf numFmtId="49" fontId="1" fillId="14" borderId="3" xfId="0" applyNumberFormat="1" applyFont="1" applyFill="1" applyBorder="1" applyAlignment="1">
      <alignment horizontal="center"/>
    </xf>
    <xf numFmtId="49" fontId="1" fillId="14" borderId="3" xfId="0" applyNumberFormat="1" applyFont="1" applyFill="1" applyBorder="1" applyAlignment="1">
      <alignment horizontal="center" vertical="center"/>
    </xf>
    <xf numFmtId="49" fontId="1" fillId="14" borderId="3" xfId="0" applyNumberFormat="1" applyFont="1" applyFill="1" applyBorder="1" applyAlignment="1">
      <alignment horizontal="center" vertical="center" wrapText="1"/>
    </xf>
    <xf numFmtId="49" fontId="0" fillId="14" borderId="3" xfId="0" applyNumberForma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left" vertical="center" wrapText="1"/>
    </xf>
    <xf numFmtId="49" fontId="0" fillId="0" borderId="3" xfId="0" applyNumberFormat="1" applyBorder="1" applyAlignment="1">
      <alignment vertical="center"/>
    </xf>
    <xf numFmtId="49" fontId="1" fillId="0" borderId="3" xfId="0" applyNumberFormat="1" applyFont="1" applyBorder="1" applyAlignment="1">
      <alignment horizontal="left" vertical="center"/>
    </xf>
    <xf numFmtId="49" fontId="0" fillId="0" borderId="3" xfId="0" applyNumberForma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0" fillId="14" borderId="3" xfId="0" applyNumberFormat="1" applyFill="1" applyBorder="1"/>
    <xf numFmtId="49" fontId="0" fillId="14" borderId="3" xfId="0" applyNumberFormat="1" applyFill="1" applyBorder="1" applyAlignment="1">
      <alignment horizontal="left" vertical="center"/>
    </xf>
    <xf numFmtId="49" fontId="6" fillId="0" borderId="3" xfId="0" applyNumberFormat="1" applyFont="1" applyBorder="1" applyAlignment="1">
      <alignment horizontal="center" vertical="center"/>
    </xf>
    <xf numFmtId="49" fontId="8" fillId="9" borderId="0" xfId="0" applyNumberFormat="1" applyFont="1" applyFill="1" applyAlignment="1" applyProtection="1">
      <alignment horizontal="center" vertical="center"/>
      <protection locked="0"/>
    </xf>
    <xf numFmtId="49" fontId="1" fillId="0" borderId="3" xfId="0" applyNumberFormat="1" applyFont="1" applyBorder="1" applyAlignment="1">
      <alignment horizontal="left" wrapText="1"/>
    </xf>
    <xf numFmtId="49" fontId="1" fillId="0" borderId="3" xfId="0" applyNumberFormat="1" applyFont="1" applyBorder="1" applyAlignment="1">
      <alignment wrapText="1"/>
    </xf>
    <xf numFmtId="49" fontId="0" fillId="0" borderId="3" xfId="0" applyNumberFormat="1" applyBorder="1" applyAlignment="1">
      <alignment horizontal="left" vertical="center"/>
    </xf>
    <xf numFmtId="49" fontId="6" fillId="0" borderId="3" xfId="0" applyNumberFormat="1" applyFont="1" applyBorder="1" applyAlignment="1">
      <alignment wrapText="1"/>
    </xf>
    <xf numFmtId="49" fontId="0" fillId="9" borderId="0" xfId="0" applyNumberFormat="1" applyFill="1" applyAlignment="1" applyProtection="1">
      <alignment horizontal="center" vertical="center" wrapText="1"/>
      <protection locked="0"/>
    </xf>
    <xf numFmtId="0" fontId="0" fillId="14" borderId="3" xfId="0" applyFill="1" applyBorder="1"/>
    <xf numFmtId="0" fontId="0" fillId="14" borderId="7" xfId="0" applyFill="1" applyBorder="1"/>
    <xf numFmtId="0" fontId="5" fillId="9" borderId="8" xfId="0" applyFont="1" applyFill="1" applyBorder="1"/>
    <xf numFmtId="0" fontId="5" fillId="15" borderId="6" xfId="0" applyFont="1" applyFill="1" applyBorder="1"/>
    <xf numFmtId="0" fontId="5" fillId="15" borderId="9" xfId="0" applyFont="1" applyFill="1" applyBorder="1"/>
    <xf numFmtId="0" fontId="0" fillId="14" borderId="8" xfId="0" applyFill="1" applyBorder="1"/>
    <xf numFmtId="0" fontId="0" fillId="14" borderId="6" xfId="0" applyFill="1" applyBorder="1"/>
    <xf numFmtId="0" fontId="0" fillId="14" borderId="9" xfId="0" applyFill="1" applyBorder="1"/>
    <xf numFmtId="0" fontId="0" fillId="0" borderId="8" xfId="0" applyBorder="1"/>
    <xf numFmtId="0" fontId="0" fillId="0" borderId="6" xfId="0" applyBorder="1"/>
    <xf numFmtId="0" fontId="0" fillId="0" borderId="9" xfId="0" applyBorder="1"/>
    <xf numFmtId="0" fontId="0" fillId="14" borderId="5" xfId="0" applyFill="1" applyBorder="1"/>
    <xf numFmtId="0" fontId="0" fillId="0" borderId="1" xfId="0" quotePrefix="1" applyBorder="1"/>
    <xf numFmtId="0" fontId="4" fillId="16" borderId="1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0" fillId="0" borderId="10" xfId="0" applyBorder="1"/>
    <xf numFmtId="0" fontId="0" fillId="0" borderId="11" xfId="0" applyBorder="1"/>
    <xf numFmtId="49" fontId="0" fillId="8" borderId="0" xfId="0" applyNumberFormat="1" applyFill="1" applyAlignment="1">
      <alignment horizontal="center" vertical="center"/>
    </xf>
    <xf numFmtId="0" fontId="0" fillId="0" borderId="0" xfId="0"/>
    <xf numFmtId="49" fontId="0" fillId="6" borderId="0" xfId="0" applyNumberFormat="1" applyFill="1" applyAlignment="1">
      <alignment horizontal="center" vertical="center"/>
    </xf>
    <xf numFmtId="49" fontId="0" fillId="0" borderId="0" xfId="0" applyNumberFormat="1"/>
    <xf numFmtId="49" fontId="0" fillId="17" borderId="0" xfId="0" applyNumberFormat="1" applyFill="1" applyAlignment="1">
      <alignment horizontal="center" vertical="center" wrapText="1"/>
    </xf>
    <xf numFmtId="49" fontId="0" fillId="18" borderId="0" xfId="0" applyNumberFormat="1" applyFill="1" applyAlignment="1">
      <alignment horizontal="center"/>
    </xf>
  </cellXfs>
  <cellStyles count="2">
    <cellStyle name="Normal" xfId="0" builtinId="0"/>
    <cellStyle name="標準 2" xfId="1" xr:uid="{00000000-0005-0000-0000-000001000000}"/>
  </cellStyles>
  <dxfs count="126">
    <dxf>
      <numFmt numFmtId="30" formatCode="@"/>
      <alignment horizontal="general" vertical="center" textRotation="0" wrapText="0" indent="0" justifyLastLine="0" shrinkToFit="0" readingOrder="0"/>
    </dxf>
    <dxf>
      <numFmt numFmtId="30" formatCode="@"/>
      <alignment horizontal="center" vertical="center"/>
      <protection locked="0" hidden="0"/>
    </dxf>
    <dxf>
      <numFmt numFmtId="30" formatCode="@"/>
      <alignment horizontal="general" vertical="center"/>
      <protection locked="0" hidden="0"/>
    </dxf>
    <dxf>
      <numFmt numFmtId="30" formatCode="@"/>
      <alignment horizontal="general" vertical="center"/>
      <protection locked="0" hidden="0"/>
    </dxf>
    <dxf>
      <numFmt numFmtId="30" formatCode="@"/>
      <fill>
        <patternFill>
          <fgColor indexed="64"/>
          <bgColor indexed="65"/>
        </patternFill>
      </fill>
      <alignment horizontal="general" vertical="bottom" wrapText="1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fill>
        <patternFill>
          <fgColor indexed="64"/>
          <bgColor auto="1"/>
        </patternFill>
      </fill>
      <alignment horizontal="general" vertical="bottom" wrapText="1"/>
      <border outline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numFmt numFmtId="30" formatCode="@"/>
      <fill>
        <patternFill>
          <fgColor indexed="64"/>
          <bgColor indexed="65"/>
        </patternFill>
      </fill>
      <alignment horizontal="center" vertical="center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fill>
        <patternFill>
          <fgColor indexed="64"/>
          <bgColor indexed="65"/>
        </patternFill>
      </fill>
      <alignment horizontal="center" vertical="center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fill>
        <patternFill>
          <fgColor indexed="64"/>
          <bgColor indexed="65"/>
        </patternFill>
      </fill>
      <alignment horizontal="center" vertical="center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fill>
        <patternFill>
          <fgColor indexed="64"/>
          <bgColor indexed="65"/>
        </patternFill>
      </fill>
      <alignment horizontal="center" vertical="center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fill>
        <patternFill>
          <fgColor indexed="64"/>
          <bgColor indexed="65"/>
        </patternFill>
      </fill>
      <alignment horizontal="center" vertical="center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fill>
        <patternFill>
          <fgColor indexed="64"/>
          <bgColor indexed="65"/>
        </patternFill>
      </fill>
      <alignment horizontal="center" vertical="center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fill>
        <patternFill>
          <fgColor indexed="64"/>
          <bgColor indexed="65"/>
        </patternFill>
      </fill>
      <alignment horizontal="center" vertical="center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fill>
        <patternFill>
          <fgColor indexed="64"/>
          <bgColor auto="1"/>
        </patternFill>
      </fill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fill>
        <patternFill>
          <fgColor indexed="64"/>
          <bgColor auto="1"/>
        </patternFill>
      </fill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fill>
        <patternFill>
          <fgColor indexed="64"/>
          <bgColor auto="1"/>
        </patternFill>
      </fill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numFmt numFmtId="30" formatCode="@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fill>
        <patternFill>
          <fgColor indexed="64"/>
          <bgColor auto="1"/>
        </patternFill>
      </fill>
      <alignment horizontal="center" vertical="center"/>
      <border outline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center" vertical="center"/>
      <border outline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center" vertical="center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numFmt numFmtId="30" formatCode="@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alignment horizontal="center" vertical="center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center" vertical="center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center" vertical="center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center" vertical="center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center" vertical="center"/>
      <protection locked="0" hidden="0"/>
    </dxf>
    <dxf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center" vertical="bottom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numFmt numFmtId="30" formatCode="@"/>
      <alignment horizontal="center" vertical="bottom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numFmt numFmtId="30" formatCode="@"/>
      <alignment horizontal="center" vertical="center"/>
      <protection locked="0" hidden="0"/>
    </dxf>
    <dxf>
      <numFmt numFmtId="30" formatCode="@"/>
      <alignment horizontal="center" vertical="center"/>
      <protection locked="0" hidden="0"/>
    </dxf>
    <dxf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center" vertical="bottom"/>
      <border outline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numFmt numFmtId="0" formatCode="General"/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numFmt numFmtId="30" formatCode="@"/>
      <alignment horizontal="general" vertical="center"/>
      <protection locked="0" hidden="0"/>
    </dxf>
    <dxf>
      <numFmt numFmtId="30" formatCode="@"/>
      <alignment horizontal="general" vertical="center"/>
      <protection locked="0" hidden="0"/>
    </dxf>
    <dxf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center" wrapText="1"/>
      <border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alignment vertical="center"/>
    </dxf>
    <dxf>
      <numFmt numFmtId="30" formatCode="@"/>
      <alignment horizontal="center" vertical="center"/>
    </dxf>
    <dxf>
      <numFmt numFmtId="30" formatCode="@"/>
      <alignment horizontal="center" vertical="center"/>
      <protection locked="0" hidden="0"/>
    </dxf>
    <dxf>
      <numFmt numFmtId="30" formatCode="@"/>
      <alignment horizontal="general" vertical="center"/>
      <protection locked="0" hidden="0"/>
    </dxf>
    <dxf>
      <numFmt numFmtId="30" formatCode="@"/>
      <alignment horizontal="general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30" formatCode="@"/>
      <alignment horizontal="general" vertical="center"/>
      <protection locked="0" hidden="0"/>
    </dxf>
    <dxf>
      <numFmt numFmtId="30" formatCode="@"/>
      <alignment horizontal="left" vertical="center" wrapText="1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/>
      <protection locked="0" hidden="0"/>
    </dxf>
    <dxf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center" vertical="center"/>
      <protection locked="0" hidden="0"/>
    </dxf>
    <dxf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center" vertical="center"/>
      <protection locked="0" hidden="0"/>
    </dxf>
    <dxf>
      <numFmt numFmtId="30" formatCode="@"/>
      <alignment horizontal="center" vertical="center" textRotation="0" wrapText="0" indent="0" justifyLastLine="0" shrinkToFit="0" readingOrder="0"/>
      <protection locked="0" hidden="0"/>
    </dxf>
    <dxf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center" vertical="center"/>
      <protection locked="0" hidden="0"/>
    </dxf>
    <dxf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center" vertical="center"/>
      <protection locked="0" hidden="0"/>
    </dxf>
    <dxf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center" vertical="center"/>
      <protection locked="0" hidden="0"/>
    </dxf>
    <dxf>
      <numFmt numFmtId="30" formatCode="@"/>
      <alignment horizontal="center" vertical="center"/>
      <protection locked="0" hidden="0"/>
    </dxf>
    <dxf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/>
      <protection locked="0" hidden="0"/>
    </dxf>
    <dxf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center" vertical="bottom"/>
      <protection locked="0" hidden="0"/>
    </dxf>
    <dxf>
      <numFmt numFmtId="0" formatCode="General"/>
      <alignment horizontal="center" vertical="center"/>
      <protection locked="0" hidden="0"/>
    </dxf>
    <dxf>
      <numFmt numFmtId="30" formatCode="@"/>
      <alignment horizontal="general" vertical="center"/>
      <protection locked="0" hidden="0"/>
    </dxf>
    <dxf>
      <numFmt numFmtId="30" formatCode="@"/>
      <alignment horizontal="general" vertical="center"/>
      <protection locked="0" hidden="0"/>
    </dxf>
    <dxf>
      <numFmt numFmtId="30" formatCode="@"/>
      <alignment horizontal="general" vertical="center"/>
      <protection locked="0" hidden="0"/>
    </dxf>
    <dxf>
      <alignment vertical="center"/>
    </dxf>
    <dxf>
      <numFmt numFmtId="30" formatCode="@"/>
      <alignment horizontal="center" vertical="center"/>
    </dxf>
    <dxf>
      <numFmt numFmtId="30" formatCode="@"/>
      <alignment horizontal="left" vertical="center"/>
    </dxf>
    <dxf>
      <numFmt numFmtId="30" formatCode="@"/>
      <alignment horizontal="left" vertical="center"/>
    </dxf>
    <dxf>
      <numFmt numFmtId="30" formatCode="@"/>
      <alignment horizontal="left" vertical="center"/>
      <border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numFmt numFmtId="30" formatCode="@"/>
      <alignment horizontal="left" vertical="center"/>
    </dxf>
    <dxf>
      <numFmt numFmtId="30" formatCode="@"/>
      <alignment horizontal="left" vertical="center" wrapText="1"/>
    </dxf>
    <dxf>
      <numFmt numFmtId="30" formatCode="@"/>
      <alignment horizontal="center" vertical="bottom"/>
      <protection locked="0" hidden="0"/>
    </dxf>
    <dxf>
      <numFmt numFmtId="30" formatCode="@"/>
      <alignment horizontal="left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left" vertical="center"/>
      <protection locked="0" hidden="0"/>
    </dxf>
    <dxf>
      <numFmt numFmtId="30" formatCode="@"/>
      <alignment horizontal="general" vertical="center"/>
      <protection locked="0" hidden="0"/>
    </dxf>
    <dxf>
      <alignment horizontal="left" vertical="center"/>
    </dxf>
    <dxf>
      <numFmt numFmtId="30" formatCode="@"/>
      <fill>
        <patternFill>
          <fgColor indexed="64"/>
          <bgColor auto="1"/>
        </patternFill>
      </fill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numFmt numFmtId="0" formatCode="General"/>
      <alignment horizontal="general" vertical="center" wrapText="1"/>
    </dxf>
    <dxf>
      <numFmt numFmtId="0" formatCode="General"/>
      <alignment horizontal="general" vertical="center" wrapText="1"/>
    </dxf>
    <dxf>
      <numFmt numFmtId="30" formatCode="@"/>
      <fill>
        <patternFill>
          <fgColor indexed="64"/>
          <bgColor indexed="65"/>
        </patternFill>
      </fill>
      <alignment horizontal="general" vertical="center"/>
    </dxf>
    <dxf>
      <numFmt numFmtId="30" formatCode="@"/>
      <alignment horizontal="general" vertical="center"/>
    </dxf>
    <dxf>
      <numFmt numFmtId="30" formatCode="@"/>
      <alignment horizontal="general" vertical="center"/>
    </dxf>
    <dxf>
      <numFmt numFmtId="30" formatCode="@"/>
      <fill>
        <patternFill>
          <fgColor indexed="64"/>
          <bgColor indexed="65"/>
        </patternFill>
      </fill>
      <alignment horizontal="general" vertical="center"/>
    </dxf>
    <dxf>
      <numFmt numFmtId="30" formatCode="@"/>
      <fill>
        <patternFill>
          <fgColor indexed="64"/>
          <bgColor indexed="65"/>
        </patternFill>
      </fill>
      <alignment horizontal="general" vertical="center"/>
    </dxf>
    <dxf>
      <numFmt numFmtId="30" formatCode="@"/>
      <alignment horizontal="general" vertical="center" wrapText="1"/>
    </dxf>
    <dxf>
      <numFmt numFmtId="0" formatCode="General"/>
      <alignment horizontal="general" vertical="center"/>
    </dxf>
    <dxf>
      <numFmt numFmtId="0" formatCode="General"/>
      <alignment horizontal="general" vertical="center"/>
    </dxf>
    <dxf>
      <numFmt numFmtId="30" formatCode="@"/>
      <alignment horizontal="general" vertical="center"/>
    </dxf>
    <dxf>
      <numFmt numFmtId="30" formatCode="@"/>
      <fill>
        <patternFill>
          <fgColor indexed="64"/>
          <bgColor indexed="65"/>
        </patternFill>
      </fill>
      <alignment horizontal="general" vertical="center"/>
    </dxf>
    <dxf>
      <numFmt numFmtId="30" formatCode="@"/>
      <fill>
        <patternFill>
          <fgColor indexed="64"/>
          <bgColor indexed="65"/>
        </patternFill>
      </fill>
      <alignment horizontal="general" vertical="center"/>
    </dxf>
    <dxf>
      <numFmt numFmtId="30" formatCode="@"/>
      <alignment horizontal="general" vertical="center"/>
      <protection locked="0" hidden="0"/>
    </dxf>
    <dxf>
      <alignment horizontal="general" vertical="center" wrapText="1"/>
    </dxf>
    <dxf>
      <numFmt numFmtId="30" formatCode="@"/>
      <alignment horizontal="center" vertical="center" wrapText="1"/>
    </dxf>
    <dxf>
      <fill>
        <patternFill>
          <bgColor auto="1"/>
        </patternFill>
      </fill>
      <alignment horizontal="general" vertical="center"/>
    </dxf>
    <dxf>
      <fill>
        <patternFill>
          <bgColor auto="1"/>
        </patternFill>
      </fill>
      <alignment horizontal="general" vertical="center"/>
    </dxf>
    <dxf>
      <alignment horizontal="center" vertical="center" wrapText="1"/>
    </dxf>
    <dxf>
      <fill>
        <patternFill>
          <bgColor auto="1"/>
        </patternFill>
      </fill>
      <alignment horizontal="general" vertical="center"/>
    </dxf>
    <dxf>
      <fill>
        <patternFill>
          <bgColor auto="1"/>
        </patternFill>
      </fill>
      <alignment horizontal="general" vertical="center"/>
    </dxf>
    <dxf>
      <fill>
        <patternFill>
          <bgColor auto="1"/>
        </patternFill>
      </fill>
      <alignment horizontal="general" vertical="center" wrapText="1"/>
    </dxf>
    <dxf>
      <alignment horizontal="general" vertical="center"/>
    </dxf>
    <dxf>
      <numFmt numFmtId="0" formatCode="General"/>
      <fill>
        <patternFill>
          <bgColor auto="1"/>
        </patternFill>
      </fill>
      <alignment horizontal="general" vertical="center"/>
    </dxf>
    <dxf>
      <fill>
        <patternFill>
          <bgColor auto="1"/>
        </patternFill>
      </fill>
      <alignment horizontal="general" vertical="center"/>
    </dxf>
    <dxf>
      <alignment horizontal="center" vertical="center"/>
    </dxf>
    <dxf>
      <alignment vertical="center"/>
    </dxf>
    <dxf>
      <alignment horizontal="right" vertical="center"/>
    </dxf>
    <dxf>
      <alignment vertical="center"/>
    </dxf>
    <dxf>
      <alignment vertical="center"/>
    </dxf>
    <dxf>
      <fill>
        <patternFill patternType="solid">
          <fgColor indexed="64"/>
          <bgColor theme="1" tint="0.34998626667073579"/>
        </patternFill>
      </fill>
      <alignment horizontal="center" vertical="bottom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Type&#12503;&#12523;&#12480;&#12454;&#12531;&#38917;&#30446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Typeプルダウン項目"/>
    </sheetNames>
    <sheetDataSet>
      <sheetData sheetId="0" refreshError="1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15" totalsRowShown="0">
  <autoFilter ref="A1:B15" xr:uid="{00000000-0009-0000-0100-000001000000}"/>
  <tableColumns count="2">
    <tableColumn id="1" xr3:uid="{00000000-0010-0000-0000-000001000000}" name="Data Pattern"/>
    <tableColumn id="2" xr3:uid="{00000000-0010-0000-0000-000002000000}" name="enum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47" displayName="Table47" ref="A1:C9" totalsRowShown="0">
  <autoFilter ref="A1:C9" xr:uid="{00000000-0009-0000-0100-000002000000}"/>
  <tableColumns count="3">
    <tableColumn id="1" xr3:uid="{00000000-0010-0000-0100-000001000000}" name="FK Type (Japanese)"/>
    <tableColumn id="2" xr3:uid="{00000000-0010-0000-0100-000002000000}" name="FK Type"/>
    <tableColumn id="3" xr3:uid="{00000000-0010-0000-0100-000003000000}" name="Direc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5" displayName="Table5" ref="A3:D4" totalsRowShown="0" headerRowDxfId="125" dataDxfId="124">
  <autoFilter ref="A3:D4" xr:uid="{00000000-0009-0000-0100-000003000000}"/>
  <tableColumns count="4">
    <tableColumn id="1" xr3:uid="{00000000-0010-0000-0200-000001000000}" name="Date" dataDxfId="123"/>
    <tableColumn id="2" xr3:uid="{00000000-0010-0000-0200-000002000000}" name="Version" dataDxfId="122"/>
    <tableColumn id="3" xr3:uid="{00000000-0010-0000-0200-000003000000}" name="Changes" dataDxfId="121"/>
    <tableColumn id="4" xr3:uid="{00000000-0010-0000-0200-000004000000}" name="Changed By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50" displayName="Table50" ref="A5:H28" totalsRowShown="0" dataDxfId="119">
  <autoFilter ref="A5:H28" xr:uid="{00000000-0009-0000-0100-000004000000}"/>
  <tableColumns count="8">
    <tableColumn id="1" xr3:uid="{00000000-0010-0000-0300-000001000000}" name="#" dataDxfId="118">
      <calculatedColumnFormula>ROW()-5</calculatedColumnFormula>
    </tableColumn>
    <tableColumn id="8" xr3:uid="{00000000-0010-0000-0300-000008000000}" name="Category" dataDxfId="117"/>
    <tableColumn id="2" xr3:uid="{00000000-0010-0000-0300-000002000000}" name="Category Name" dataDxfId="116"/>
    <tableColumn id="3" xr3:uid="{00000000-0010-0000-0300-000003000000}" name="Key" dataDxfId="115"/>
    <tableColumn id="4" xr3:uid="{00000000-0010-0000-0300-000004000000}" name="Description" dataDxfId="114"/>
    <tableColumn id="9" xr3:uid="{00000000-0010-0000-0300-000009000000}" name="Required" dataDxfId="113"/>
    <tableColumn id="5" xr3:uid="{00000000-0010-0000-0300-000005000000}" name="Value" dataDxfId="112"/>
    <tableColumn id="6" xr3:uid="{00000000-0010-0000-0300-000006000000}" name="Notes" dataDxfId="11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2" displayName="Table2" ref="A7:T10" tableType="xml" totalsRowShown="0" headerRowDxfId="110" dataDxfId="109">
  <tableColumns count="20">
    <tableColumn id="1" xr3:uid="{00000000-0010-0000-0400-000001000000}" uniqueName="name" name="DataType Name" dataDxfId="108">
      <xmlColumnPr mapId="191" xpath="/root/datatype/@name" xmlDataType="string"/>
    </tableColumn>
    <tableColumn id="3" xr3:uid="{00000000-0010-0000-0400-000003000000}" uniqueName="kata" name="Type" dataDxfId="0">
      <xmlColumnPr mapId="191" xpath="/root/datatype/kata" xmlDataType="string"/>
    </tableColumn>
    <tableColumn id="4" xr3:uid="{00000000-0010-0000-0400-000004000000}" uniqueName="minLength" name="Min Length" dataDxfId="107">
      <xmlColumnPr mapId="191" xpath="/root/datatype/minLength" xmlDataType="string"/>
    </tableColumn>
    <tableColumn id="11" xr3:uid="{00000000-0010-0000-0400-00000B000000}" uniqueName="maxLength" name="Max Length" dataDxfId="106">
      <xmlColumnPr mapId="191" xpath="/root/datatype/maxLength" xmlDataType="string"/>
    </tableColumn>
    <tableColumn id="15" xr3:uid="{00000000-0010-0000-0400-00000F000000}" uniqueName="numScale" name="Data Pattern (display name)" dataDxfId="105"/>
    <tableColumn id="24" xr3:uid="{00000000-0010-0000-0400-000018000000}" uniqueName="stringDataPtn" name="Data Pattern" dataDxfId="104">
      <xmlColumnPr mapId="191" xpath="/root/datatype/stringDataPtn" xmlDataType="string"/>
    </tableColumn>
    <tableColumn id="18" xr3:uid="{00000000-0010-0000-0400-000012000000}" uniqueName="18" name="Exclude Prohibited Chars Check" dataDxfId="103"/>
    <tableColumn id="25" xr3:uid="{00000000-0010-0000-0400-000019000000}" uniqueName="stringRegEx" name="Regex" dataDxfId="102">
      <xmlColumnPr mapId="191" xpath="/root/datatype/stringRegEx" xmlDataType="string"/>
    </tableColumn>
    <tableColumn id="9" xr3:uid="{00000000-0010-0000-0400-000009000000}" uniqueName="numMinVal" name="Min Value" dataDxfId="101">
      <xmlColumnPr mapId="191" xpath="/root/datatype/numMinVal" xmlDataType="string"/>
    </tableColumn>
    <tableColumn id="10" xr3:uid="{00000000-0010-0000-0400-00000A000000}" uniqueName="numMaxVal" name="Max Value" dataDxfId="100">
      <xmlColumnPr mapId="191" xpath="/root/datatype/numMaxVal" xmlDataType="string"/>
    </tableColumn>
    <tableColumn id="12" xr3:uid="{00000000-0010-0000-0400-00000C000000}" uniqueName="numDigitInteger" name="Integer Digits" dataDxfId="99">
      <xmlColumnPr mapId="191" xpath="/root/datatype/numDigitInteger" xmlDataType="string"/>
    </tableColumn>
    <tableColumn id="13" xr3:uid="{00000000-0010-0000-0400-00000D000000}" uniqueName="numDigitFraction" name="Decimal Digits" dataDxfId="98">
      <xmlColumnPr mapId="191" xpath="/root/datatype/numDigitFraction" xmlDataType="string"/>
    </tableColumn>
    <tableColumn id="5" xr3:uid="{00000000-0010-0000-0400-000005000000}" uniqueName="enumCodeLength" name="Code Length" dataDxfId="97">
      <xmlColumnPr mapId="191" xpath="/root/datatype/enumCodeLength" xmlDataType="string"/>
    </tableColumn>
    <tableColumn id="14" xr3:uid="{00000000-0010-0000-0400-00000E000000}" uniqueName="notNeedsTimezone" name="No Timezone" dataDxfId="96">
      <xmlColumnPr mapId="191" xpath="/root/datatype/notNeedsTimezone" xmlDataType="string"/>
    </tableColumn>
    <tableColumn id="6" xr3:uid="{B168B020-1AF0-9B42-BEEA-270E7FD756C0}" uniqueName="6" name="Max Size [MB]"/>
    <tableColumn id="16" xr3:uid="{00000000-0010-0000-0400-000010000000}" uniqueName="javadoc" name="Notes" dataDxfId="95">
      <xmlColumnPr mapId="191" xpath="/root/datatype/javadoc" xmlDataType="string"/>
    </tableColumn>
    <tableColumn id="2" xr3:uid="{00000000-0010-0000-0400-000002000000}" uniqueName="2" name="Pattern Desc (Default Lang)" dataDxfId="94"/>
    <tableColumn id="19" xr3:uid="{00000000-0010-0000-0400-000013000000}" uniqueName="19" name="Pattern Desc (Additional Lang 1)" dataDxfId="93"/>
    <tableColumn id="20" xr3:uid="{00000000-0010-0000-0400-000014000000}" uniqueName="20" name="Pattern Desc (Additional Lang 2)" dataDxfId="92"/>
    <tableColumn id="21" xr3:uid="{00000000-0010-0000-0400-000015000000}" uniqueName="21" name="Pattern Desc (Additional Lang 3)" dataDxfId="9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4" displayName="Table4" ref="A6:I9" tableType="xml" totalsRowShown="0" headerRowDxfId="90" dataDxfId="89">
  <autoFilter ref="A6:I9" xr:uid="{00000000-0009-0000-0100-000006000000}"/>
  <tableColumns count="9">
    <tableColumn id="1" xr3:uid="{00000000-0010-0000-0500-000001000000}" uniqueName="dataTypeName" name="DataType Name" dataDxfId="88">
      <xmlColumnPr mapId="132" xpath="/root/enum/dataTypeName" xmlDataType="string"/>
    </tableColumn>
    <tableColumn id="8" xr3:uid="{00000000-0010-0000-0500-000008000000}" uniqueName="8" name="code" dataDxfId="87"/>
    <tableColumn id="5" xr3:uid="{00000000-0010-0000-0500-000005000000}" uniqueName="varName" name="varName" dataDxfId="86">
      <xmlColumnPr mapId="132" xpath="/root/enum/varName" xmlDataType="string"/>
    </tableColumn>
    <tableColumn id="10" xr3:uid="{00000000-0010-0000-0500-00000A000000}" uniqueName="10" name="Java Only" dataDxfId="85"/>
    <tableColumn id="12" xr3:uid="{00000000-0010-0000-0500-00000C000000}" uniqueName="javadoc-value" name="Notes" dataDxfId="84">
      <xmlColumnPr mapId="132" xpath="/root/enum/javadoc-value" xmlDataType="string"/>
    </tableColumn>
    <tableColumn id="9" xr3:uid="{00000000-0010-0000-0500-000009000000}" uniqueName="9" name="Display Name (Default Lang)" dataDxfId="83"/>
    <tableColumn id="4" xr3:uid="{00000000-0010-0000-0500-000004000000}" uniqueName="dispNameAddLang1" name="Display Name (Additional Lang 1)" dataDxfId="82">
      <xmlColumnPr mapId="132" xpath="/root/enum/dispNameAddLang1" xmlDataType="string"/>
    </tableColumn>
    <tableColumn id="6" xr3:uid="{00000000-0010-0000-0500-000006000000}" uniqueName="dispNameAddLang2" name="Display Name (Additional Lang 2)" dataDxfId="81">
      <xmlColumnPr mapId="132" xpath="/root/enum/dispNameAddLang2" xmlDataType="string"/>
    </tableColumn>
    <tableColumn id="7" xr3:uid="{00000000-0010-0000-0500-000007000000}" uniqueName="dispNameAddLang3" name="Display Name (Additional Lang 3)" dataDxfId="80">
      <xmlColumnPr mapId="132" xpath="/root/enum/dispNameAddLang3" xmlDataType="string"/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5:AL8" tableType="xml" totalsRowShown="0" headerRowDxfId="79" dataDxfId="78">
  <autoFilter ref="A5:AL8" xr:uid="{00000000-0009-0000-0100-000007000000}"/>
  <tableColumns count="38">
    <tableColumn id="1" xr3:uid="{00000000-0010-0000-0600-000001000000}" uniqueName="table" name="Table Name" dataDxfId="77">
      <xmlColumnPr mapId="161" xpath="/root/column/table" xmlDataType="string"/>
    </tableColumn>
    <tableColumn id="2" xr3:uid="{00000000-0010-0000-0600-000002000000}" uniqueName="name" name="Column Name" dataDxfId="76">
      <xmlColumnPr mapId="161" xpath="/root/column/@name" xmlDataType="string"/>
    </tableColumn>
    <tableColumn id="15" xr3:uid="{00000000-0010-0000-0600-00000F000000}" uniqueName="dataType" name="dataType" dataDxfId="75">
      <xmlColumnPr mapId="161" xpath="/root/column/dataType" xmlDataType="string"/>
    </tableColumn>
    <tableColumn id="16" xr3:uid="{00000000-0010-0000-0600-000010000000}" uniqueName="16" name="dataType Check" dataDxfId="74">
      <calculatedColumnFormula>IF(Table7[[#This Row],[dataType]]="","",IF(NOT(ISNA(VLOOKUP(Table7[[#This Row],[dataType]], 'dataType Definition'!A:A, 1,FALSE))), "○", "×"))</calculatedColumnFormula>
    </tableColumn>
    <tableColumn id="28" xr3:uid="{00000000-0010-0000-0600-00001C000000}" uniqueName="28" name="Java Only" dataDxfId="73"/>
    <tableColumn id="6" xr3:uid="{00000000-0010-0000-0600-000006000000}" uniqueName="pk" name="Surrogate key " dataDxfId="72">
      <xmlColumnPr mapId="161" xpath="/root/column/pk" xmlDataType="string"/>
    </tableColumn>
    <tableColumn id="29" xr3:uid="{00000000-0010-0000-0600-00001D000000}" uniqueName="29" name="natural key (unique key)" dataDxfId="71"/>
    <tableColumn id="8" xr3:uid="{00000000-0010-0000-0600-000008000000}" uniqueName="nullable" name="nullable" dataDxfId="70">
      <xmlColumnPr mapId="161" xpath="/root/column/nullable" xmlDataType="string"/>
    </tableColumn>
    <tableColumn id="10" xr3:uid="{00000000-0010-0000-0600-00000A000000}" uniqueName="autoIncrement" name="Auto Numbering" dataDxfId="69">
      <xmlColumnPr mapId="161" xpath="/root/column/autoIncrement" xmlDataType="string"/>
    </tableColumn>
    <tableColumn id="21" xr3:uid="{00000000-0010-0000-0600-000015000000}" uniqueName="forcedIncrement" name="Force Numbering" dataDxfId="68">
      <xmlColumnPr mapId="161" xpath="/root/column/forcedIncrement" xmlDataType="string"/>
    </tableColumn>
    <tableColumn id="11" xr3:uid="{00000000-0010-0000-0600-00000B000000}" uniqueName="autoUpdate" name="Auto Update" dataDxfId="67">
      <xmlColumnPr mapId="161" xpath="/root/column/autoUpdate" xmlDataType="string"/>
    </tableColumn>
    <tableColumn id="20" xr3:uid="{00000000-0010-0000-0600-000014000000}" uniqueName="forcedUpdate" name="Force Update" dataDxfId="66">
      <xmlColumnPr mapId="161" xpath="/root/column/forcedUpdate" xmlDataType="string"/>
    </tableColumn>
    <tableColumn id="12" xr3:uid="{00000000-0010-0000-0600-00000C000000}" uniqueName="valueChangeMethod" name="Group Identifier" dataDxfId="65">
      <xmlColumnPr mapId="161" xpath="/root/column/valueChangeMethod" xmlDataType="string"/>
    </tableColumn>
    <tableColumn id="18" xr3:uid="{00000000-0010-0000-0600-000012000000}" uniqueName="updatedValue" name="Spring Audit" dataDxfId="64">
      <xmlColumnPr mapId="161" xpath="/root/column/updatedValue" xmlDataType="string"/>
    </tableColumn>
    <tableColumn id="19" xr3:uid="{00000000-0010-0000-0600-000013000000}" uniqueName="optLock" name="Relation: Type" dataDxfId="63">
      <xmlColumnPr mapId="161" xpath="/root/column/optLock" xmlDataType="string"/>
    </tableColumn>
    <tableColumn id="22" xr3:uid="{00000000-0010-0000-0600-000016000000}" uniqueName="22" name="Relation: Direction" dataDxfId="62"/>
    <tableColumn id="26" xr3:uid="{00000000-0010-0000-0600-00001A000000}" uniqueName="26" name="Relation: Source Var Name" dataDxfId="61"/>
    <tableColumn id="31" xr3:uid="{9D7281DD-5315-4241-A8BB-439EC0CF8E4B}" uniqueName="31" name="Relation: Source Var itemNameKeyClass" dataDxfId="60"/>
    <tableColumn id="23" xr3:uid="{00000000-0010-0000-0600-000017000000}" uniqueName="23" name="Relation: Target Table" dataDxfId="59"/>
    <tableColumn id="24" xr3:uid="{00000000-0010-0000-0600-000018000000}" uniqueName="24" name="Relation: Target Column" dataDxfId="58"/>
    <tableColumn id="27" xr3:uid="{00000000-0010-0000-0600-00001B000000}" uniqueName="27" name="Relation: Target Var Name" dataDxfId="57"/>
    <tableColumn id="30" xr3:uid="{6428A7A6-FE3D-A242-BAE9-10F0BE9F39E9}" uniqueName="30" name="Relation: Target Var itemNameKeyClass"/>
    <tableColumn id="25" xr3:uid="{00000000-0010-0000-0600-000019000000}" uniqueName="25" name="Relation: Eager" dataDxfId="56"/>
    <tableColumn id="17" xr3:uid="{00000000-0010-0000-0600-000011000000}" uniqueName="index1" name="index1" dataDxfId="55">
      <xmlColumnPr mapId="161" xpath="/root/column/index1" xmlDataType="string"/>
    </tableColumn>
    <tableColumn id="14" xr3:uid="{00000000-0010-0000-0600-00000E000000}" uniqueName="index2" name="index2" dataDxfId="54">
      <xmlColumnPr mapId="161" xpath="/root/column/index2" xmlDataType="string"/>
    </tableColumn>
    <tableColumn id="13" xr3:uid="{00000000-0010-0000-0600-00000D000000}" uniqueName="index3" name="index3" dataDxfId="53">
      <xmlColumnPr mapId="161" xpath="/root/column/index3" xmlDataType="string"/>
    </tableColumn>
    <tableColumn id="34" xr3:uid="{00000000-0010-0000-0600-000022000000}" uniqueName="34" name="index4" dataDxfId="52"/>
    <tableColumn id="35" xr3:uid="{00000000-0010-0000-0600-000023000000}" uniqueName="35" name="index5" dataDxfId="51"/>
    <tableColumn id="36" xr3:uid="{00000000-0010-0000-0600-000024000000}" uniqueName="36" name="index6" dataDxfId="50"/>
    <tableColumn id="37" xr3:uid="{00000000-0010-0000-0600-000025000000}" uniqueName="37" name="index7" dataDxfId="49"/>
    <tableColumn id="38" xr3:uid="{00000000-0010-0000-0600-000026000000}" uniqueName="38" name="index8" dataDxfId="48"/>
    <tableColumn id="39" xr3:uid="{00000000-0010-0000-0600-000027000000}" uniqueName="39" name="index9" dataDxfId="47"/>
    <tableColumn id="40" xr3:uid="{00000000-0010-0000-0600-000028000000}" uniqueName="40" name="index10" dataDxfId="46"/>
    <tableColumn id="5" xr3:uid="{00000000-0010-0000-0600-000005000000}" uniqueName="dispNameAddLang1" name="Notes" dataDxfId="45"/>
    <tableColumn id="9" xr3:uid="{00000000-0010-0000-0600-000009000000}" uniqueName="9" name="Column Display Name (Default Lang)" dataDxfId="44"/>
    <tableColumn id="3" xr3:uid="{00000000-0010-0000-0600-000003000000}" uniqueName="dispNameAddLang1" name="Column Display Name (Additional Lang 1)" dataDxfId="43">
      <xmlColumnPr mapId="161" xpath="/root/column/dispNameAddLang1" xmlDataType="string"/>
    </tableColumn>
    <tableColumn id="4" xr3:uid="{00000000-0010-0000-0600-000004000000}" uniqueName="dispNameAddLang2" name="Column Display Name (Additional Lang 2)" dataDxfId="42">
      <xmlColumnPr mapId="161" xpath="/root/column/dispNameAddLang2" xmlDataType="string"/>
    </tableColumn>
    <tableColumn id="7" xr3:uid="{00000000-0010-0000-0600-000007000000}" uniqueName="dispNameAddLang3" name="Column Display Name (Additional Lang 3)" dataDxfId="41">
      <xmlColumnPr mapId="161" xpath="/root/column/dispNameAddLang3" xmlDataType="string"/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74" displayName="Table74" ref="A5:AL8" totalsRowShown="0" headerRowDxfId="40" dataDxfId="39">
  <autoFilter ref="A5:AL8" xr:uid="{00000000-0009-0000-0100-000008000000}"/>
  <tableColumns count="38">
    <tableColumn id="1" xr3:uid="{00000000-0010-0000-0700-000001000000}" name="Table Name" dataDxfId="38"/>
    <tableColumn id="2" xr3:uid="{00000000-0010-0000-0700-000002000000}" name="Column Name" dataDxfId="37"/>
    <tableColumn id="15" xr3:uid="{00000000-0010-0000-0700-00000F000000}" name="dataType" dataDxfId="36"/>
    <tableColumn id="16" xr3:uid="{00000000-0010-0000-0700-000010000000}" name="dataType Check" dataDxfId="35">
      <calculatedColumnFormula>IF(Table74[[#This Row],[dataType]]="","",IF(NOT(ISNA(VLOOKUP(Table74[[#This Row],[dataType]], 'dataType Definition'!A:A, 1,FALSE))), "○", "×"))</calculatedColumnFormula>
    </tableColumn>
    <tableColumn id="28" xr3:uid="{00000000-0010-0000-0700-00001C000000}" name="Java Only" dataDxfId="34"/>
    <tableColumn id="9" xr3:uid="{00000000-0010-0000-0700-000009000000}" name="Surrogate key " dataDxfId="33"/>
    <tableColumn id="8" xr3:uid="{00000000-0010-0000-0700-000008000000}" name="natural key (unique key)" dataDxfId="32"/>
    <tableColumn id="29" xr3:uid="{00000000-0010-0000-0700-00001D000000}" name="nullable" dataDxfId="31"/>
    <tableColumn id="10" xr3:uid="{00000000-0010-0000-0700-00000A000000}" name="Auto Numbering" dataDxfId="30"/>
    <tableColumn id="21" xr3:uid="{00000000-0010-0000-0700-000015000000}" name="Force Numbering" dataDxfId="29"/>
    <tableColumn id="11" xr3:uid="{00000000-0010-0000-0700-00000B000000}" name="Auto Update" dataDxfId="28"/>
    <tableColumn id="20" xr3:uid="{00000000-0010-0000-0700-000014000000}" name="Force Update" dataDxfId="27"/>
    <tableColumn id="12" xr3:uid="{00000000-0010-0000-0700-00000C000000}" name="Group Identifier" dataDxfId="26"/>
    <tableColumn id="18" xr3:uid="{00000000-0010-0000-0700-000012000000}" name="Spring Audit" dataDxfId="25"/>
    <tableColumn id="19" xr3:uid="{00000000-0010-0000-0700-000013000000}" name="Relation: Type" dataDxfId="24"/>
    <tableColumn id="22" xr3:uid="{00000000-0010-0000-0700-000016000000}" name="Relation: Direction" dataDxfId="23"/>
    <tableColumn id="26" xr3:uid="{00000000-0010-0000-0700-00001A000000}" name="Relation: Source Var Name" dataDxfId="22"/>
    <tableColumn id="30" xr3:uid="{A60AB7BF-DE8E-F545-9E18-323611A659C9}" name="Relation: Source Var itemNameKeyClass" dataDxfId="21"/>
    <tableColumn id="23" xr3:uid="{00000000-0010-0000-0700-000017000000}" name="Relation: Target Table" dataDxfId="20"/>
    <tableColumn id="24" xr3:uid="{00000000-0010-0000-0700-000018000000}" name="Relation: Target Column" dataDxfId="19"/>
    <tableColumn id="27" xr3:uid="{00000000-0010-0000-0700-00001B000000}" name="Relation: Target Var Name" dataDxfId="18"/>
    <tableColumn id="6" xr3:uid="{B755CD40-B685-4E43-B654-6640AFFFB562}" name="Relation: Target Var itemNameKeyClass" dataDxfId="17"/>
    <tableColumn id="25" xr3:uid="{00000000-0010-0000-0700-000019000000}" name="Relation: Eager" dataDxfId="16"/>
    <tableColumn id="17" xr3:uid="{00000000-0010-0000-0700-000011000000}" name="index1" dataDxfId="15"/>
    <tableColumn id="14" xr3:uid="{00000000-0010-0000-0700-00000E000000}" name="index2" dataDxfId="14"/>
    <tableColumn id="13" xr3:uid="{00000000-0010-0000-0700-00000D000000}" name="index3" dataDxfId="13"/>
    <tableColumn id="33" xr3:uid="{00000000-0010-0000-0700-000021000000}" name="index4" dataDxfId="12"/>
    <tableColumn id="34" xr3:uid="{00000000-0010-0000-0700-000022000000}" name="index5" dataDxfId="11"/>
    <tableColumn id="35" xr3:uid="{00000000-0010-0000-0700-000023000000}" name="index6" dataDxfId="10"/>
    <tableColumn id="36" xr3:uid="{00000000-0010-0000-0700-000024000000}" name="index7" dataDxfId="9"/>
    <tableColumn id="37" xr3:uid="{00000000-0010-0000-0700-000025000000}" name="index8" dataDxfId="8"/>
    <tableColumn id="38" xr3:uid="{00000000-0010-0000-0700-000026000000}" name="index9" dataDxfId="7"/>
    <tableColumn id="39" xr3:uid="{00000000-0010-0000-0700-000027000000}" name="index10" dataDxfId="6"/>
    <tableColumn id="5" xr3:uid="{00000000-0010-0000-0700-000005000000}" name="Notes" dataDxfId="5"/>
    <tableColumn id="32" xr3:uid="{00000000-0010-0000-0700-000020000000}" name="Column Display Name (Default Lang)" dataDxfId="4"/>
    <tableColumn id="3" xr3:uid="{00000000-0010-0000-0700-000003000000}" name="Column Display Name (Additional Lang 1)" dataDxfId="3"/>
    <tableColumn id="4" xr3:uid="{00000000-0010-0000-0700-000004000000}" name="Column Display Name (Additional Lang 2)" dataDxfId="2"/>
    <tableColumn id="7" xr3:uid="{00000000-0010-0000-0700-000007000000}" name="Column Display Name (Additional Lang 3)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workbookViewId="0">
      <selection activeCell="B19" sqref="B19"/>
    </sheetView>
  </sheetViews>
  <sheetFormatPr baseColWidth="10" defaultColWidth="8.83203125" defaultRowHeight="15"/>
  <cols>
    <col min="1" max="1" width="21.33203125" customWidth="1"/>
    <col min="2" max="2" width="12.83203125" bestFit="1" customWidth="1"/>
    <col min="3" max="3" width="30.1640625" customWidth="1"/>
  </cols>
  <sheetData>
    <row r="1" spans="1:3">
      <c r="A1" s="102" t="s">
        <v>41</v>
      </c>
      <c r="B1" s="103"/>
      <c r="C1" s="104"/>
    </row>
    <row r="2" spans="1:3">
      <c r="A2" s="100" t="s">
        <v>42</v>
      </c>
      <c r="B2" s="100" t="s">
        <v>43</v>
      </c>
      <c r="C2" s="100" t="s">
        <v>44</v>
      </c>
    </row>
    <row r="3" spans="1:3">
      <c r="A3" s="99" t="s">
        <v>45</v>
      </c>
      <c r="B3" s="18" t="s">
        <v>46</v>
      </c>
      <c r="C3" s="19" t="s">
        <v>47</v>
      </c>
    </row>
    <row r="4" spans="1:3">
      <c r="A4" s="99" t="s">
        <v>48</v>
      </c>
      <c r="B4" s="18" t="s">
        <v>49</v>
      </c>
      <c r="C4" s="19"/>
    </row>
    <row r="5" spans="1:3">
      <c r="A5" s="99" t="s">
        <v>50</v>
      </c>
      <c r="B5" s="18" t="s">
        <v>51</v>
      </c>
      <c r="C5" s="19"/>
    </row>
    <row r="6" spans="1:3">
      <c r="A6" s="99" t="s">
        <v>52</v>
      </c>
      <c r="B6" s="18" t="s">
        <v>53</v>
      </c>
      <c r="C6" s="19"/>
    </row>
    <row r="7" spans="1:3">
      <c r="A7" s="99" t="s">
        <v>54</v>
      </c>
      <c r="B7" s="18" t="s">
        <v>55</v>
      </c>
      <c r="C7" s="19"/>
    </row>
    <row r="8" spans="1:3">
      <c r="A8" s="99" t="s">
        <v>56</v>
      </c>
      <c r="B8" s="18" t="s">
        <v>57</v>
      </c>
      <c r="C8" s="19"/>
    </row>
    <row r="9" spans="1:3">
      <c r="A9" s="99" t="s">
        <v>58</v>
      </c>
      <c r="B9" s="18" t="s">
        <v>59</v>
      </c>
      <c r="C9" s="19"/>
    </row>
    <row r="10" spans="1:3">
      <c r="A10" s="99" t="s">
        <v>60</v>
      </c>
      <c r="B10" s="18" t="s">
        <v>61</v>
      </c>
      <c r="C10" s="19"/>
    </row>
    <row r="11" spans="1:3">
      <c r="A11" s="99" t="s">
        <v>62</v>
      </c>
      <c r="B11" s="18" t="s">
        <v>63</v>
      </c>
      <c r="C11" s="19"/>
    </row>
    <row r="12" spans="1:3">
      <c r="A12" s="99" t="s">
        <v>64</v>
      </c>
      <c r="B12" s="18" t="s">
        <v>65</v>
      </c>
      <c r="C12" s="19"/>
    </row>
    <row r="13" spans="1:3">
      <c r="A13" s="99" t="s">
        <v>66</v>
      </c>
      <c r="B13" s="18" t="s">
        <v>67</v>
      </c>
      <c r="C13" s="19"/>
    </row>
    <row r="14" spans="1:3">
      <c r="A14" s="99" t="s">
        <v>68</v>
      </c>
      <c r="B14" s="18" t="s">
        <v>69</v>
      </c>
      <c r="C14" s="19"/>
    </row>
    <row r="15" spans="1:3">
      <c r="A15" s="99" t="s">
        <v>70</v>
      </c>
      <c r="B15" s="18" t="s">
        <v>71</v>
      </c>
      <c r="C15" s="19"/>
    </row>
    <row r="16" spans="1:3">
      <c r="A16" s="99" t="s">
        <v>72</v>
      </c>
      <c r="B16" s="18" t="s">
        <v>73</v>
      </c>
      <c r="C16" s="19"/>
    </row>
    <row r="17" spans="1:3">
      <c r="A17" s="19"/>
      <c r="B17" s="18" t="s">
        <v>74</v>
      </c>
      <c r="C17" s="19"/>
    </row>
    <row r="18" spans="1:3">
      <c r="A18" s="19"/>
      <c r="B18" s="18" t="s">
        <v>216</v>
      </c>
      <c r="C18" s="19"/>
    </row>
    <row r="19" spans="1:3">
      <c r="B19" s="16"/>
    </row>
    <row r="20" spans="1:3">
      <c r="C20" t="s">
        <v>75</v>
      </c>
    </row>
  </sheetData>
  <mergeCells count="1">
    <mergeCell ref="A1:C1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activeCell="B26" sqref="B26"/>
    </sheetView>
  </sheetViews>
  <sheetFormatPr baseColWidth="10" defaultColWidth="8.83203125" defaultRowHeight="15"/>
  <cols>
    <col min="1" max="1" width="22" bestFit="1" customWidth="1"/>
    <col min="2" max="2" width="26" customWidth="1"/>
    <col min="3" max="3" width="19.1640625" bestFit="1" customWidth="1"/>
  </cols>
  <sheetData>
    <row r="1" spans="1:2">
      <c r="A1" t="s">
        <v>76</v>
      </c>
      <c r="B1" t="s">
        <v>77</v>
      </c>
    </row>
    <row r="2" spans="1:2">
      <c r="A2" t="s">
        <v>45</v>
      </c>
      <c r="B2" t="s">
        <v>78</v>
      </c>
    </row>
    <row r="3" spans="1:2">
      <c r="A3" t="s">
        <v>50</v>
      </c>
      <c r="B3" t="s">
        <v>79</v>
      </c>
    </row>
    <row r="4" spans="1:2">
      <c r="A4" t="s">
        <v>52</v>
      </c>
      <c r="B4" t="s">
        <v>80</v>
      </c>
    </row>
    <row r="5" spans="1:2">
      <c r="A5" t="s">
        <v>54</v>
      </c>
      <c r="B5" t="s">
        <v>81</v>
      </c>
    </row>
    <row r="6" spans="1:2">
      <c r="A6" t="s">
        <v>56</v>
      </c>
      <c r="B6" t="s">
        <v>82</v>
      </c>
    </row>
    <row r="7" spans="1:2">
      <c r="A7" t="s">
        <v>58</v>
      </c>
      <c r="B7" t="s">
        <v>83</v>
      </c>
    </row>
    <row r="8" spans="1:2">
      <c r="A8" t="s">
        <v>60</v>
      </c>
      <c r="B8" t="s">
        <v>84</v>
      </c>
    </row>
    <row r="9" spans="1:2">
      <c r="A9" t="s">
        <v>62</v>
      </c>
      <c r="B9" t="s">
        <v>85</v>
      </c>
    </row>
    <row r="10" spans="1:2">
      <c r="A10" t="s">
        <v>64</v>
      </c>
      <c r="B10" t="s">
        <v>86</v>
      </c>
    </row>
    <row r="11" spans="1:2">
      <c r="A11" t="s">
        <v>66</v>
      </c>
      <c r="B11" t="s">
        <v>87</v>
      </c>
    </row>
    <row r="12" spans="1:2">
      <c r="A12" t="s">
        <v>68</v>
      </c>
      <c r="B12" t="s">
        <v>88</v>
      </c>
    </row>
    <row r="13" spans="1:2">
      <c r="A13" t="s">
        <v>70</v>
      </c>
      <c r="B13" t="s">
        <v>89</v>
      </c>
    </row>
    <row r="14" spans="1:2">
      <c r="A14" t="s">
        <v>72</v>
      </c>
      <c r="B14" t="s">
        <v>90</v>
      </c>
    </row>
    <row r="15" spans="1:2">
      <c r="A15" t="s">
        <v>48</v>
      </c>
      <c r="B15" t="s">
        <v>91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workbookViewId="0">
      <selection activeCell="B26" sqref="B26"/>
    </sheetView>
  </sheetViews>
  <sheetFormatPr baseColWidth="10" defaultColWidth="8.83203125" defaultRowHeight="15"/>
  <cols>
    <col min="1" max="1" width="25.1640625" bestFit="1" customWidth="1"/>
    <col min="2" max="2" width="12.1640625" customWidth="1"/>
    <col min="3" max="3" width="12.1640625" bestFit="1" customWidth="1"/>
  </cols>
  <sheetData>
    <row r="1" spans="1:3">
      <c r="A1" t="s">
        <v>92</v>
      </c>
      <c r="B1" t="s">
        <v>93</v>
      </c>
      <c r="C1" t="s">
        <v>94</v>
      </c>
    </row>
    <row r="2" spans="1:3">
      <c r="A2" t="s">
        <v>95</v>
      </c>
      <c r="B2" t="s">
        <v>96</v>
      </c>
      <c r="C2" t="s">
        <v>97</v>
      </c>
    </row>
    <row r="3" spans="1:3">
      <c r="A3" t="s">
        <v>98</v>
      </c>
      <c r="B3" t="s">
        <v>96</v>
      </c>
      <c r="C3" t="s">
        <v>99</v>
      </c>
    </row>
    <row r="4" spans="1:3">
      <c r="A4" t="s">
        <v>100</v>
      </c>
      <c r="B4" t="s">
        <v>101</v>
      </c>
      <c r="C4" t="s">
        <v>97</v>
      </c>
    </row>
    <row r="11" spans="1:3">
      <c r="A11" t="s">
        <v>102</v>
      </c>
    </row>
    <row r="12" spans="1:3">
      <c r="A12" t="s">
        <v>103</v>
      </c>
    </row>
    <row r="13" spans="1:3">
      <c r="A13" s="45" t="s">
        <v>104</v>
      </c>
    </row>
    <row r="14" spans="1:3">
      <c r="A14" t="s">
        <v>105</v>
      </c>
    </row>
    <row r="15" spans="1:3">
      <c r="A15" t="s">
        <v>106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zoomScaleNormal="100" workbookViewId="0">
      <selection activeCell="C7" sqref="C7"/>
    </sheetView>
  </sheetViews>
  <sheetFormatPr baseColWidth="10" defaultColWidth="8.83203125" defaultRowHeight="15"/>
  <cols>
    <col min="1" max="1" width="11.6640625" customWidth="1"/>
    <col min="2" max="2" width="12.1640625" style="11" bestFit="1" customWidth="1"/>
    <col min="3" max="3" width="113.6640625" customWidth="1"/>
    <col min="4" max="4" width="9" style="10" customWidth="1"/>
  </cols>
  <sheetData>
    <row r="1" spans="1:4">
      <c r="A1" s="12" t="s">
        <v>107</v>
      </c>
    </row>
    <row r="3" spans="1:4">
      <c r="A3" s="63" t="s">
        <v>108</v>
      </c>
      <c r="B3" s="63" t="s">
        <v>109</v>
      </c>
      <c r="C3" s="63" t="s">
        <v>110</v>
      </c>
      <c r="D3" s="63" t="s">
        <v>111</v>
      </c>
    </row>
    <row r="4" spans="1:4" ht="99" customHeight="1">
      <c r="A4" s="13">
        <v>46196</v>
      </c>
      <c r="B4" s="14" t="s">
        <v>112</v>
      </c>
      <c r="C4" s="15" t="s">
        <v>215</v>
      </c>
      <c r="D4" s="4" t="s">
        <v>113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8"/>
  <sheetViews>
    <sheetView zoomScale="113" zoomScaleNormal="110" workbookViewId="0">
      <pane ySplit="5" topLeftCell="A6" activePane="bottomLeft" state="frozen"/>
      <selection pane="bottomLeft"/>
    </sheetView>
  </sheetViews>
  <sheetFormatPr baseColWidth="10" defaultColWidth="11" defaultRowHeight="15"/>
  <cols>
    <col min="1" max="1" width="4.5" bestFit="1" customWidth="1"/>
    <col min="2" max="2" width="19.33203125" hidden="1" customWidth="1"/>
    <col min="3" max="3" width="16" style="44" customWidth="1"/>
    <col min="4" max="4" width="27.6640625" hidden="1" customWidth="1"/>
    <col min="5" max="5" width="64.33203125" customWidth="1"/>
    <col min="6" max="6" width="7.33203125" bestFit="1" customWidth="1"/>
    <col min="7" max="7" width="30.1640625" bestFit="1" customWidth="1"/>
    <col min="8" max="8" width="48.33203125" customWidth="1"/>
  </cols>
  <sheetData>
    <row r="1" spans="1:8">
      <c r="A1" s="29" t="s">
        <v>114</v>
      </c>
    </row>
    <row r="3" spans="1:8">
      <c r="A3" t="s">
        <v>115</v>
      </c>
    </row>
    <row r="5" spans="1:8" ht="16" customHeight="1">
      <c r="A5" s="53" t="s">
        <v>116</v>
      </c>
      <c r="B5" s="53" t="s">
        <v>117</v>
      </c>
      <c r="C5" s="54" t="s">
        <v>118</v>
      </c>
      <c r="D5" s="53" t="s">
        <v>119</v>
      </c>
      <c r="E5" s="53" t="s">
        <v>120</v>
      </c>
      <c r="F5" s="53" t="s">
        <v>121</v>
      </c>
      <c r="G5" t="s">
        <v>122</v>
      </c>
      <c r="H5" t="s">
        <v>36</v>
      </c>
    </row>
    <row r="6" spans="1:8" ht="16" customHeight="1">
      <c r="A6" s="1">
        <f t="shared" ref="A6:A27" si="0">ROW()-5</f>
        <v>1</v>
      </c>
      <c r="B6" s="1" t="s">
        <v>123</v>
      </c>
      <c r="C6" s="15" t="s">
        <v>124</v>
      </c>
      <c r="D6" s="1" t="s">
        <v>125</v>
      </c>
      <c r="E6" s="15" t="s">
        <v>126</v>
      </c>
      <c r="F6" s="27" t="s">
        <v>127</v>
      </c>
      <c r="G6" s="1" t="s">
        <v>128</v>
      </c>
      <c r="H6" s="1"/>
    </row>
    <row r="7" spans="1:8" ht="32" customHeight="1">
      <c r="A7" s="1">
        <f t="shared" si="0"/>
        <v>2</v>
      </c>
      <c r="B7" s="1" t="s">
        <v>123</v>
      </c>
      <c r="C7" s="15" t="s">
        <v>124</v>
      </c>
      <c r="D7" s="1" t="s">
        <v>129</v>
      </c>
      <c r="E7" s="15" t="s">
        <v>130</v>
      </c>
      <c r="F7" s="27" t="s">
        <v>127</v>
      </c>
      <c r="G7" s="1"/>
      <c r="H7" s="1"/>
    </row>
    <row r="8" spans="1:8" ht="16" customHeight="1">
      <c r="A8" s="1">
        <f t="shared" si="0"/>
        <v>3</v>
      </c>
      <c r="B8" s="1" t="s">
        <v>123</v>
      </c>
      <c r="C8" s="15" t="s">
        <v>124</v>
      </c>
      <c r="D8" s="1" t="s">
        <v>131</v>
      </c>
      <c r="E8" s="1" t="s">
        <v>132</v>
      </c>
      <c r="F8" s="27" t="s">
        <v>127</v>
      </c>
      <c r="G8" s="1"/>
      <c r="H8" s="1"/>
    </row>
    <row r="9" spans="1:8" ht="32" customHeight="1">
      <c r="A9" s="1">
        <f t="shared" si="0"/>
        <v>4</v>
      </c>
      <c r="B9" s="1" t="s">
        <v>123</v>
      </c>
      <c r="C9" s="15" t="s">
        <v>124</v>
      </c>
      <c r="D9" s="1" t="s">
        <v>44</v>
      </c>
      <c r="E9" s="15" t="s">
        <v>133</v>
      </c>
      <c r="F9" s="27" t="s">
        <v>127</v>
      </c>
      <c r="G9" s="1" t="s">
        <v>47</v>
      </c>
      <c r="H9" s="1"/>
    </row>
    <row r="10" spans="1:8" ht="16" customHeight="1">
      <c r="A10" s="1">
        <f t="shared" si="0"/>
        <v>5</v>
      </c>
      <c r="B10" s="1" t="s">
        <v>123</v>
      </c>
      <c r="C10" s="15" t="s">
        <v>124</v>
      </c>
      <c r="D10" s="1" t="s">
        <v>134</v>
      </c>
      <c r="E10" s="1" t="s">
        <v>135</v>
      </c>
      <c r="F10" s="27" t="s">
        <v>127</v>
      </c>
      <c r="G10" s="1" t="s">
        <v>211</v>
      </c>
      <c r="H10" s="1"/>
    </row>
    <row r="11" spans="1:8" ht="32" customHeight="1">
      <c r="A11" s="1">
        <f t="shared" si="0"/>
        <v>6</v>
      </c>
      <c r="B11" s="1" t="s">
        <v>123</v>
      </c>
      <c r="C11" s="15" t="s">
        <v>124</v>
      </c>
      <c r="D11" s="1" t="s">
        <v>136</v>
      </c>
      <c r="E11" s="15" t="s">
        <v>137</v>
      </c>
      <c r="F11" s="27" t="s">
        <v>127</v>
      </c>
      <c r="G11" s="1" t="s">
        <v>212</v>
      </c>
      <c r="H11" s="1"/>
    </row>
    <row r="12" spans="1:8" ht="48" customHeight="1">
      <c r="A12" s="1">
        <f t="shared" si="0"/>
        <v>7</v>
      </c>
      <c r="B12" s="1" t="s">
        <v>123</v>
      </c>
      <c r="C12" s="15" t="s">
        <v>124</v>
      </c>
      <c r="D12" s="1" t="s">
        <v>138</v>
      </c>
      <c r="E12" s="15" t="s">
        <v>139</v>
      </c>
      <c r="F12" s="27"/>
      <c r="G12" s="1"/>
      <c r="H12" s="1"/>
    </row>
    <row r="13" spans="1:8" ht="16" customHeight="1">
      <c r="A13" s="1">
        <f t="shared" si="0"/>
        <v>8</v>
      </c>
      <c r="B13" s="1" t="s">
        <v>123</v>
      </c>
      <c r="C13" s="15" t="s">
        <v>124</v>
      </c>
      <c r="D13" s="1" t="s">
        <v>140</v>
      </c>
      <c r="E13" s="1" t="s">
        <v>141</v>
      </c>
      <c r="F13" s="4"/>
      <c r="G13" s="1"/>
      <c r="H13" s="1"/>
    </row>
    <row r="14" spans="1:8" ht="16" customHeight="1">
      <c r="A14" s="1">
        <f t="shared" si="0"/>
        <v>9</v>
      </c>
      <c r="B14" s="1" t="s">
        <v>123</v>
      </c>
      <c r="C14" s="15" t="s">
        <v>124</v>
      </c>
      <c r="D14" s="1" t="s">
        <v>142</v>
      </c>
      <c r="E14" s="1" t="s">
        <v>143</v>
      </c>
      <c r="F14" s="4"/>
      <c r="G14" s="1"/>
      <c r="H14" s="1"/>
    </row>
    <row r="15" spans="1:8" ht="16" customHeight="1">
      <c r="A15" s="1">
        <f t="shared" si="0"/>
        <v>10</v>
      </c>
      <c r="B15" s="1" t="s">
        <v>123</v>
      </c>
      <c r="C15" s="15" t="s">
        <v>124</v>
      </c>
      <c r="D15" s="1" t="s">
        <v>144</v>
      </c>
      <c r="E15" s="1" t="s">
        <v>145</v>
      </c>
      <c r="F15" s="4"/>
      <c r="G15" s="1"/>
      <c r="H15" s="1"/>
    </row>
    <row r="16" spans="1:8" ht="32" customHeight="1">
      <c r="A16" s="1">
        <f t="shared" si="0"/>
        <v>11</v>
      </c>
      <c r="B16" s="1" t="s">
        <v>123</v>
      </c>
      <c r="C16" s="15" t="s">
        <v>124</v>
      </c>
      <c r="D16" s="1" t="s">
        <v>146</v>
      </c>
      <c r="E16" s="15" t="s">
        <v>147</v>
      </c>
      <c r="F16" s="4"/>
      <c r="G16" s="1"/>
      <c r="H16" s="1"/>
    </row>
    <row r="17" spans="1:8" ht="48" customHeight="1">
      <c r="A17" s="1">
        <f t="shared" si="0"/>
        <v>12</v>
      </c>
      <c r="B17" s="1" t="s">
        <v>123</v>
      </c>
      <c r="C17" s="15" t="s">
        <v>124</v>
      </c>
      <c r="D17" s="1" t="s">
        <v>148</v>
      </c>
      <c r="E17" s="15" t="s">
        <v>149</v>
      </c>
      <c r="F17" s="4"/>
      <c r="G17" s="1"/>
      <c r="H17" s="1"/>
    </row>
    <row r="18" spans="1:8" ht="48" customHeight="1">
      <c r="A18" s="1">
        <f t="shared" si="0"/>
        <v>13</v>
      </c>
      <c r="B18" s="1" t="s">
        <v>123</v>
      </c>
      <c r="C18" s="15" t="s">
        <v>124</v>
      </c>
      <c r="D18" s="1" t="s">
        <v>150</v>
      </c>
      <c r="E18" s="15" t="s">
        <v>151</v>
      </c>
      <c r="F18" s="4"/>
      <c r="G18" s="1"/>
      <c r="H18" s="1"/>
    </row>
    <row r="19" spans="1:8" ht="48" customHeight="1">
      <c r="A19" s="1">
        <f t="shared" si="0"/>
        <v>14</v>
      </c>
      <c r="B19" s="1" t="s">
        <v>123</v>
      </c>
      <c r="C19" s="15" t="s">
        <v>124</v>
      </c>
      <c r="D19" s="1" t="s">
        <v>152</v>
      </c>
      <c r="E19" s="15" t="s">
        <v>153</v>
      </c>
      <c r="F19" s="4"/>
      <c r="G19" s="1"/>
      <c r="H19" s="1"/>
    </row>
    <row r="20" spans="1:8" ht="112" customHeight="1">
      <c r="A20" s="1">
        <f t="shared" si="0"/>
        <v>15</v>
      </c>
      <c r="B20" s="1" t="s">
        <v>154</v>
      </c>
      <c r="C20" s="15" t="s">
        <v>155</v>
      </c>
      <c r="D20" s="1" t="s">
        <v>156</v>
      </c>
      <c r="E20" s="15" t="s">
        <v>157</v>
      </c>
      <c r="F20" s="27"/>
      <c r="G20" s="2"/>
      <c r="H20" s="15"/>
    </row>
    <row r="21" spans="1:8" ht="32" customHeight="1">
      <c r="A21" s="1">
        <f t="shared" si="0"/>
        <v>16</v>
      </c>
      <c r="B21" s="1" t="s">
        <v>154</v>
      </c>
      <c r="C21" s="15" t="s">
        <v>155</v>
      </c>
      <c r="D21" s="1" t="s">
        <v>158</v>
      </c>
      <c r="E21" s="15" t="s">
        <v>159</v>
      </c>
      <c r="F21" s="4"/>
      <c r="G21" s="2"/>
      <c r="H21" s="15"/>
    </row>
    <row r="22" spans="1:8" ht="32" customHeight="1">
      <c r="A22" s="1">
        <f t="shared" si="0"/>
        <v>17</v>
      </c>
      <c r="B22" s="1" t="s">
        <v>154</v>
      </c>
      <c r="C22" s="15" t="s">
        <v>155</v>
      </c>
      <c r="D22" s="1" t="s">
        <v>160</v>
      </c>
      <c r="E22" s="15" t="s">
        <v>161</v>
      </c>
      <c r="F22" s="27"/>
      <c r="G22" s="2"/>
      <c r="H22" s="15"/>
    </row>
    <row r="23" spans="1:8" ht="32" customHeight="1">
      <c r="A23" s="1">
        <f t="shared" si="0"/>
        <v>18</v>
      </c>
      <c r="B23" s="1" t="s">
        <v>154</v>
      </c>
      <c r="C23" s="15" t="s">
        <v>155</v>
      </c>
      <c r="D23" s="1" t="s">
        <v>162</v>
      </c>
      <c r="E23" s="15" t="s">
        <v>163</v>
      </c>
      <c r="F23" s="27"/>
      <c r="G23" s="2"/>
      <c r="H23" s="15"/>
    </row>
    <row r="24" spans="1:8" ht="160" customHeight="1">
      <c r="A24" s="1">
        <f t="shared" si="0"/>
        <v>19</v>
      </c>
      <c r="B24" s="1" t="s">
        <v>164</v>
      </c>
      <c r="C24" s="15" t="s">
        <v>165</v>
      </c>
      <c r="D24" s="1" t="s">
        <v>156</v>
      </c>
      <c r="E24" s="15" t="s">
        <v>166</v>
      </c>
      <c r="F24" s="27"/>
      <c r="G24" s="1"/>
      <c r="H24" s="1"/>
    </row>
    <row r="25" spans="1:8" ht="32" customHeight="1">
      <c r="A25" s="1">
        <f t="shared" si="0"/>
        <v>20</v>
      </c>
      <c r="B25" s="1" t="s">
        <v>164</v>
      </c>
      <c r="C25" s="15" t="s">
        <v>165</v>
      </c>
      <c r="D25" s="1" t="s">
        <v>158</v>
      </c>
      <c r="E25" s="1" t="s">
        <v>167</v>
      </c>
      <c r="F25" s="4"/>
      <c r="G25" s="1"/>
      <c r="H25" s="1"/>
    </row>
    <row r="26" spans="1:8" ht="32" customHeight="1">
      <c r="A26" s="1">
        <f t="shared" si="0"/>
        <v>21</v>
      </c>
      <c r="B26" s="1" t="s">
        <v>164</v>
      </c>
      <c r="C26" s="15" t="s">
        <v>165</v>
      </c>
      <c r="D26" s="1" t="s">
        <v>168</v>
      </c>
      <c r="E26" s="15" t="s">
        <v>169</v>
      </c>
      <c r="F26" s="27"/>
      <c r="G26" s="1"/>
      <c r="H26" s="1"/>
    </row>
    <row r="27" spans="1:8" ht="80" customHeight="1">
      <c r="A27" s="1">
        <f t="shared" si="0"/>
        <v>22</v>
      </c>
      <c r="B27" s="1" t="s">
        <v>170</v>
      </c>
      <c r="C27" s="15" t="s">
        <v>171</v>
      </c>
      <c r="D27" s="1" t="s">
        <v>156</v>
      </c>
      <c r="E27" s="15" t="s">
        <v>172</v>
      </c>
      <c r="F27" s="27" t="s">
        <v>127</v>
      </c>
      <c r="G27" s="1" t="s">
        <v>210</v>
      </c>
      <c r="H27" s="1"/>
    </row>
    <row r="28" spans="1:8" ht="16">
      <c r="A28" s="1">
        <f>ROW()-5</f>
        <v>23</v>
      </c>
      <c r="B28" s="1" t="s">
        <v>170</v>
      </c>
      <c r="C28" s="15" t="s">
        <v>171</v>
      </c>
      <c r="D28" s="1" t="s">
        <v>158</v>
      </c>
      <c r="E28" s="1" t="s">
        <v>167</v>
      </c>
      <c r="F28" s="27" t="s">
        <v>127</v>
      </c>
      <c r="G28" s="1"/>
      <c r="H28" s="1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E8798DF-C788-0B46-907F-A52C6A6667AF}">
          <x14:formula1>
            <xm:f>'dataType Dropdown Items'!$C$3:$C$5</xm:f>
          </x14:formula1>
          <xm:sqref>G9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0"/>
  <sheetViews>
    <sheetView tabSelected="1" zoomScaleNormal="100" workbookViewId="0">
      <pane ySplit="7" topLeftCell="A8" activePane="bottomLeft" state="frozen"/>
      <selection pane="bottomLeft"/>
    </sheetView>
  </sheetViews>
  <sheetFormatPr baseColWidth="10" defaultColWidth="8.83203125" defaultRowHeight="15" outlineLevelCol="1"/>
  <cols>
    <col min="1" max="1" width="39.1640625" bestFit="1" customWidth="1"/>
    <col min="2" max="2" width="11.5" bestFit="1" customWidth="1"/>
    <col min="3" max="3" width="9.1640625" style="3" bestFit="1" customWidth="1"/>
    <col min="4" max="4" width="9.6640625" style="3" customWidth="1"/>
    <col min="5" max="5" width="18.83203125" style="3" customWidth="1"/>
    <col min="6" max="6" width="18.1640625" style="3" customWidth="1"/>
    <col min="7" max="7" width="12.83203125" style="3" customWidth="1"/>
    <col min="8" max="8" width="14.6640625" style="3" bestFit="1" customWidth="1"/>
    <col min="9" max="10" width="5.6640625" customWidth="1" outlineLevel="1"/>
    <col min="11" max="11" width="7.5" customWidth="1" outlineLevel="1"/>
    <col min="12" max="13" width="8" customWidth="1" outlineLevel="1"/>
    <col min="14" max="14" width="10" customWidth="1" outlineLevel="1"/>
    <col min="15" max="15" width="8" customWidth="1" outlineLevel="1"/>
    <col min="16" max="16" width="31.6640625" customWidth="1" outlineLevel="1"/>
    <col min="17" max="20" width="16.33203125" customWidth="1"/>
  </cols>
  <sheetData>
    <row r="1" spans="1:20">
      <c r="A1" s="7" t="s">
        <v>41</v>
      </c>
      <c r="B1" s="3"/>
    </row>
    <row r="2" spans="1:20" ht="16" customHeight="1">
      <c r="A2" s="7"/>
      <c r="B2" s="3"/>
      <c r="Q2" s="57" t="s">
        <v>1</v>
      </c>
      <c r="R2" s="57" t="s">
        <v>2</v>
      </c>
      <c r="S2" s="57" t="s">
        <v>3</v>
      </c>
      <c r="T2" s="57" t="s">
        <v>4</v>
      </c>
    </row>
    <row r="3" spans="1:20">
      <c r="A3" s="64" t="s">
        <v>173</v>
      </c>
      <c r="B3" s="3"/>
      <c r="Q3" s="32" t="str">
        <f>IF('General Settings'!$G$11=0,"",'General Settings'!$G$11)</f>
        <v>en</v>
      </c>
      <c r="R3" s="32" t="str">
        <f>IF('General Settings'!$G$12=0,"",'General Settings'!$G$12)</f>
        <v/>
      </c>
      <c r="S3" s="32" t="str">
        <f>IF('General Settings'!$G$13=0,"",'General Settings'!$G$13)</f>
        <v/>
      </c>
      <c r="T3" s="32" t="str">
        <f>IF('General Settings'!$G$14=0,"",'General Settings'!$G$14)</f>
        <v/>
      </c>
    </row>
    <row r="4" spans="1:20">
      <c r="A4" s="7"/>
      <c r="B4" s="3"/>
    </row>
    <row r="5" spans="1:20" ht="32" customHeight="1">
      <c r="A5" s="7"/>
      <c r="B5" s="28" t="s">
        <v>174</v>
      </c>
      <c r="C5" s="107" t="s">
        <v>175</v>
      </c>
      <c r="D5" s="108"/>
      <c r="E5" s="108"/>
      <c r="F5" s="108"/>
      <c r="G5" s="108"/>
      <c r="H5" s="108"/>
      <c r="I5" s="105" t="s">
        <v>176</v>
      </c>
      <c r="J5" s="106"/>
      <c r="K5" s="106"/>
      <c r="L5" s="106"/>
      <c r="M5" s="30" t="s">
        <v>177</v>
      </c>
      <c r="N5" s="48" t="s">
        <v>178</v>
      </c>
      <c r="O5" s="109" t="s">
        <v>218</v>
      </c>
      <c r="P5" s="51" t="s">
        <v>36</v>
      </c>
      <c r="Q5" s="107" t="s">
        <v>175</v>
      </c>
      <c r="R5" s="106"/>
      <c r="S5" s="106"/>
      <c r="T5" s="106"/>
    </row>
    <row r="6" spans="1:20">
      <c r="B6" s="20" t="s">
        <v>121</v>
      </c>
      <c r="C6" s="26" t="s">
        <v>179</v>
      </c>
      <c r="D6" s="26" t="s">
        <v>121</v>
      </c>
      <c r="E6" s="22" t="s">
        <v>121</v>
      </c>
      <c r="F6" s="26" t="s">
        <v>121</v>
      </c>
      <c r="G6" s="22" t="s">
        <v>179</v>
      </c>
      <c r="H6" s="22" t="s">
        <v>179</v>
      </c>
      <c r="I6" s="24" t="s">
        <v>179</v>
      </c>
      <c r="J6" s="24" t="s">
        <v>179</v>
      </c>
      <c r="K6" s="24" t="s">
        <v>179</v>
      </c>
      <c r="L6" s="24" t="s">
        <v>179</v>
      </c>
      <c r="M6" s="31" t="s">
        <v>121</v>
      </c>
      <c r="N6" s="47" t="s">
        <v>179</v>
      </c>
      <c r="O6" s="110" t="s">
        <v>121</v>
      </c>
      <c r="P6" s="21" t="s">
        <v>179</v>
      </c>
      <c r="Q6" s="22" t="s">
        <v>179</v>
      </c>
      <c r="R6" s="22" t="s">
        <v>179</v>
      </c>
      <c r="S6" s="22" t="s">
        <v>179</v>
      </c>
      <c r="T6" s="22" t="s">
        <v>179</v>
      </c>
    </row>
    <row r="7" spans="1:20" ht="48" customHeight="1">
      <c r="A7" s="4" t="s">
        <v>167</v>
      </c>
      <c r="B7" s="4" t="s">
        <v>43</v>
      </c>
      <c r="C7" s="5" t="s">
        <v>180</v>
      </c>
      <c r="D7" s="5" t="s">
        <v>181</v>
      </c>
      <c r="E7" s="5" t="s">
        <v>182</v>
      </c>
      <c r="F7" s="55" t="s">
        <v>76</v>
      </c>
      <c r="G7" s="5" t="s">
        <v>183</v>
      </c>
      <c r="H7" s="5" t="s">
        <v>184</v>
      </c>
      <c r="I7" s="5" t="s">
        <v>185</v>
      </c>
      <c r="J7" s="5" t="s">
        <v>186</v>
      </c>
      <c r="K7" s="5" t="s">
        <v>187</v>
      </c>
      <c r="L7" s="5" t="s">
        <v>188</v>
      </c>
      <c r="M7" s="5" t="s">
        <v>189</v>
      </c>
      <c r="N7" s="5" t="s">
        <v>190</v>
      </c>
      <c r="O7" s="5" t="s">
        <v>217</v>
      </c>
      <c r="P7" s="5" t="s">
        <v>36</v>
      </c>
      <c r="Q7" s="5" t="s">
        <v>191</v>
      </c>
      <c r="R7" s="5" t="s">
        <v>192</v>
      </c>
      <c r="S7" s="5" t="s">
        <v>193</v>
      </c>
      <c r="T7" s="5" t="s">
        <v>194</v>
      </c>
    </row>
    <row r="8" spans="1:20">
      <c r="A8" s="6"/>
      <c r="B8" s="2"/>
      <c r="C8" s="2"/>
      <c r="D8" s="2"/>
      <c r="E8" s="2"/>
      <c r="F8" s="1" t="str">
        <f>IF(Table2[[#This Row],[Data Pattern (display name)]]="", "", VLOOKUP(Table2[[#This Row],[Data Pattern (display name)]],'dataType Data Pattern List'!A:B,2,FALSE))</f>
        <v/>
      </c>
      <c r="G8" s="5"/>
      <c r="H8" s="23"/>
      <c r="I8" s="2"/>
      <c r="J8" s="2"/>
      <c r="K8" s="2"/>
      <c r="L8" s="2"/>
      <c r="M8" s="2"/>
      <c r="N8" s="23"/>
      <c r="O8" s="23"/>
      <c r="P8" s="23"/>
      <c r="Q8" s="23"/>
      <c r="R8" s="23"/>
      <c r="S8" s="23"/>
      <c r="T8" s="23"/>
    </row>
    <row r="9" spans="1:20">
      <c r="A9" s="6"/>
      <c r="B9" s="2"/>
      <c r="C9" s="2"/>
      <c r="D9" s="2"/>
      <c r="E9" s="2"/>
      <c r="F9" s="1" t="str">
        <f>IF(Table2[[#This Row],[Data Pattern (display name)]]="", "", VLOOKUP(Table2[[#This Row],[Data Pattern (display name)]],'dataType Data Pattern List'!A:B,2,FALSE))</f>
        <v/>
      </c>
      <c r="G9" s="5"/>
      <c r="H9" s="23"/>
      <c r="I9" s="2"/>
      <c r="J9" s="2"/>
      <c r="K9" s="2"/>
      <c r="L9" s="2"/>
      <c r="M9" s="2"/>
      <c r="N9" s="15"/>
      <c r="O9" s="15"/>
      <c r="P9" s="15"/>
      <c r="Q9" s="23"/>
      <c r="R9" s="23"/>
      <c r="S9" s="23"/>
      <c r="T9" s="23"/>
    </row>
    <row r="10" spans="1:20">
      <c r="A10" s="6"/>
      <c r="B10" s="2"/>
      <c r="C10" s="2"/>
      <c r="D10" s="2"/>
      <c r="E10" s="2"/>
      <c r="F10" s="1" t="str">
        <f>IF(Table2[[#This Row],[Data Pattern (display name)]]="", "", VLOOKUP(Table2[[#This Row],[Data Pattern (display name)]],'dataType Data Pattern List'!A:B,2,FALSE))</f>
        <v/>
      </c>
      <c r="G10" s="5"/>
      <c r="H10" s="23"/>
      <c r="I10" s="2"/>
      <c r="J10" s="2"/>
      <c r="K10" s="2"/>
      <c r="L10" s="2"/>
      <c r="M10" s="2"/>
      <c r="N10" s="15"/>
      <c r="O10" s="15"/>
      <c r="P10" s="15"/>
      <c r="Q10" s="23"/>
      <c r="R10" s="23"/>
      <c r="S10" s="23"/>
      <c r="T10" s="23"/>
    </row>
  </sheetData>
  <mergeCells count="3">
    <mergeCell ref="I5:L5"/>
    <mergeCell ref="C5:H5"/>
    <mergeCell ref="Q5:T5"/>
  </mergeCells>
  <dataValidations count="6">
    <dataValidation type="list" allowBlank="1" showInputMessage="1" showErrorMessage="1" sqref="F1:H1 F1048280:H1048576 F3:H4" xr:uid="{00000000-0002-0000-0500-000000000000}">
      <formula1>INDIRECT(#REF!)</formula1>
    </dataValidation>
    <dataValidation type="list" allowBlank="1" showInputMessage="1" showErrorMessage="1" sqref="F18:H1048265" xr:uid="{00000000-0002-0000-0500-000001000000}">
      <formula1>INDIRECT($C21)</formula1>
    </dataValidation>
    <dataValidation type="list" allowBlank="1" showInputMessage="1" showErrorMessage="1" sqref="N8:O10" xr:uid="{00000000-0002-0000-0500-000003000000}">
      <formula1>"○"</formula1>
    </dataValidation>
    <dataValidation type="list" allowBlank="1" showInputMessage="1" showErrorMessage="1" sqref="E8:E10" xr:uid="{00000000-0002-0000-0500-000004000000}">
      <formula1>general</formula1>
    </dataValidation>
    <dataValidation type="list" allowBlank="1" showInputMessage="1" showErrorMessage="1" sqref="F2:H2" xr:uid="{00000000-0002-0000-0500-000005000000}">
      <formula1>INDIRECT($C6)</formula1>
    </dataValidation>
    <dataValidation type="list" allowBlank="1" showInputMessage="1" showErrorMessage="1" sqref="F1048266:H1048279" xr:uid="{00000000-0002-0000-0500-000006000000}">
      <formula1>INDIRECT($C1)</formula1>
    </dataValidation>
  </dataValidations>
  <pageMargins left="0.7" right="0.7" top="0.75" bottom="0.75" header="0.3" footer="0.3"/>
  <pageSetup paperSize="9" orientation="portrait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55135E5-EC18-4A49-843C-F38272645BF4}">
          <x14:formula1>
            <xm:f>'dataType Dropdown Items'!$B$3:$B$18</xm:f>
          </x14:formula1>
          <xm:sqref>B8:B10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9"/>
  <sheetViews>
    <sheetView zoomScale="90" zoomScaleNormal="90" workbookViewId="0"/>
  </sheetViews>
  <sheetFormatPr baseColWidth="10" defaultColWidth="8.83203125" defaultRowHeight="15" outlineLevelCol="1"/>
  <cols>
    <col min="1" max="1" width="25.33203125" style="3" customWidth="1"/>
    <col min="2" max="2" width="9.1640625" style="3" bestFit="1" customWidth="1"/>
    <col min="3" max="3" width="51.5" style="3" bestFit="1" customWidth="1"/>
    <col min="4" max="4" width="12.1640625" style="3" customWidth="1" outlineLevel="1"/>
    <col min="5" max="5" width="44.6640625" customWidth="1" outlineLevel="1"/>
    <col min="6" max="9" width="25" customWidth="1"/>
  </cols>
  <sheetData>
    <row r="1" spans="1:9">
      <c r="A1" s="7" t="s">
        <v>195</v>
      </c>
      <c r="D1" s="7"/>
    </row>
    <row r="3" spans="1:9" ht="16" customHeight="1">
      <c r="A3" s="3" t="s">
        <v>196</v>
      </c>
      <c r="F3" s="56" t="s">
        <v>1</v>
      </c>
      <c r="G3" s="56" t="s">
        <v>2</v>
      </c>
      <c r="H3" s="56" t="s">
        <v>3</v>
      </c>
      <c r="I3" s="56" t="s">
        <v>4</v>
      </c>
    </row>
    <row r="4" spans="1:9">
      <c r="A4" s="3" t="s">
        <v>197</v>
      </c>
      <c r="D4" s="49"/>
      <c r="F4" s="32" t="str">
        <f>IF('General Settings'!$G$11=0,"",'General Settings'!$G$11)</f>
        <v>en</v>
      </c>
      <c r="G4" s="32" t="str">
        <f>IF('General Settings'!$G$12=0,"",'General Settings'!$G$12)</f>
        <v/>
      </c>
      <c r="H4" s="32" t="str">
        <f>IF('General Settings'!$G$13=0,"",'General Settings'!$G$13)</f>
        <v/>
      </c>
      <c r="I4" s="32" t="str">
        <f>IF('General Settings'!$G$14=0,"",'General Settings'!$G$14)</f>
        <v/>
      </c>
    </row>
    <row r="6" spans="1:9" ht="16" customHeight="1">
      <c r="A6" s="3" t="s">
        <v>167</v>
      </c>
      <c r="B6" s="3" t="s">
        <v>198</v>
      </c>
      <c r="C6" s="3" t="s">
        <v>199</v>
      </c>
      <c r="D6" s="3" t="s">
        <v>9</v>
      </c>
      <c r="E6" s="3" t="s">
        <v>36</v>
      </c>
      <c r="F6" s="62" t="s">
        <v>200</v>
      </c>
      <c r="G6" s="62" t="s">
        <v>201</v>
      </c>
      <c r="H6" s="62" t="s">
        <v>202</v>
      </c>
      <c r="I6" s="62" t="s">
        <v>203</v>
      </c>
    </row>
    <row r="7" spans="1:9">
      <c r="A7" s="6"/>
      <c r="B7" s="16"/>
      <c r="C7" s="16"/>
      <c r="D7" s="9"/>
      <c r="F7" s="16"/>
      <c r="G7" s="17"/>
    </row>
    <row r="8" spans="1:9">
      <c r="A8" s="6"/>
      <c r="B8" s="16"/>
      <c r="C8" s="16"/>
      <c r="D8" s="9"/>
      <c r="F8" s="16"/>
      <c r="G8" s="17"/>
    </row>
    <row r="9" spans="1:9">
      <c r="A9" s="6"/>
      <c r="B9" s="16"/>
      <c r="C9" s="16"/>
      <c r="D9" s="9"/>
      <c r="E9" s="33"/>
      <c r="F9" s="16"/>
      <c r="G9" s="17"/>
      <c r="H9" s="16"/>
      <c r="I9" s="16"/>
    </row>
  </sheetData>
  <dataValidations count="1">
    <dataValidation type="list" allowBlank="1" showInputMessage="1" showErrorMessage="1" sqref="D7:D9" xr:uid="{00000000-0002-0000-0600-000000000000}">
      <formula1>"○"</formula1>
    </dataValidation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/>
  <dimension ref="A1:AS8"/>
  <sheetViews>
    <sheetView zoomScaleNormal="100" zoomScaleSheetLayoutView="80" workbookViewId="0"/>
  </sheetViews>
  <sheetFormatPr baseColWidth="10" defaultColWidth="9" defaultRowHeight="15" outlineLevelCol="2"/>
  <cols>
    <col min="1" max="1" width="39.1640625" style="35" bestFit="1" customWidth="1"/>
    <col min="2" max="2" width="27.83203125" style="35" customWidth="1"/>
    <col min="3" max="3" width="36" style="35" bestFit="1" customWidth="1"/>
    <col min="4" max="4" width="16.5" style="35" customWidth="1" outlineLevel="1"/>
    <col min="5" max="5" width="9.5" style="35" customWidth="1" outlineLevel="2"/>
    <col min="6" max="6" width="10.83203125" style="36" customWidth="1" outlineLevel="2"/>
    <col min="7" max="7" width="11.5" style="36" customWidth="1" outlineLevel="2"/>
    <col min="8" max="8" width="8.83203125" style="37" customWidth="1" outlineLevel="2"/>
    <col min="9" max="10" width="8.33203125" style="37" customWidth="1" outlineLevel="2"/>
    <col min="11" max="12" width="8.5" style="37" customWidth="1" outlineLevel="2"/>
    <col min="13" max="13" width="9.33203125" style="37" customWidth="1" outlineLevel="2"/>
    <col min="14" max="14" width="8.5" style="37" customWidth="1" outlineLevel="1"/>
    <col min="15" max="16" width="18.33203125" style="37" customWidth="1" outlineLevel="2"/>
    <col min="17" max="17" width="29.5" style="37" customWidth="1" outlineLevel="2"/>
    <col min="18" max="18" width="18.33203125" style="37" customWidth="1" outlineLevel="2"/>
    <col min="19" max="19" width="29" style="37" customWidth="1" outlineLevel="2"/>
    <col min="20" max="22" width="18.33203125" style="37" customWidth="1" outlineLevel="2"/>
    <col min="23" max="23" width="17.1640625" style="37" customWidth="1" outlineLevel="1"/>
    <col min="24" max="26" width="9.1640625" style="37" customWidth="1" outlineLevel="2"/>
    <col min="27" max="27" width="9.1640625" style="35" customWidth="1" outlineLevel="2"/>
    <col min="28" max="33" width="9.1640625" style="38" customWidth="1" outlineLevel="2"/>
    <col min="34" max="34" width="19.33203125" style="38" customWidth="1" outlineLevel="1"/>
    <col min="35" max="38" width="33.33203125" style="38" customWidth="1"/>
    <col min="39" max="42" width="9" style="38" customWidth="1"/>
    <col min="43" max="16384" width="9" style="38"/>
  </cols>
  <sheetData>
    <row r="1" spans="1:45">
      <c r="A1" s="34" t="s">
        <v>204</v>
      </c>
    </row>
    <row r="2" spans="1:45" ht="16" customHeight="1">
      <c r="AI2" s="57" t="s">
        <v>1</v>
      </c>
      <c r="AJ2" s="57" t="s">
        <v>2</v>
      </c>
      <c r="AK2" s="57" t="s">
        <v>3</v>
      </c>
      <c r="AL2" s="57" t="s">
        <v>4</v>
      </c>
    </row>
    <row r="3" spans="1:45">
      <c r="A3" s="49"/>
      <c r="AI3" s="32" t="str">
        <f>IF('General Settings'!$G$11=0,"",'General Settings'!$G$11)</f>
        <v>en</v>
      </c>
      <c r="AJ3" s="32" t="str">
        <f>IF('General Settings'!$G$12=0,"",'General Settings'!$G$12)</f>
        <v/>
      </c>
      <c r="AK3" s="32" t="str">
        <f>IF('General Settings'!$G$13=0,"",'General Settings'!$G$13)</f>
        <v/>
      </c>
      <c r="AL3" s="32" t="str">
        <f>IF('General Settings'!$G$14=0,"",'General Settings'!$G$14)</f>
        <v/>
      </c>
    </row>
    <row r="4" spans="1:45">
      <c r="A4" s="34"/>
    </row>
    <row r="5" spans="1:45" s="40" customFormat="1" ht="45" customHeight="1">
      <c r="A5" s="39" t="s">
        <v>5</v>
      </c>
      <c r="B5" s="39" t="s">
        <v>6</v>
      </c>
      <c r="C5" s="39" t="s">
        <v>7</v>
      </c>
      <c r="D5" s="58" t="s">
        <v>8</v>
      </c>
      <c r="E5" s="39" t="s">
        <v>9</v>
      </c>
      <c r="F5" s="59" t="s">
        <v>10</v>
      </c>
      <c r="G5" s="59" t="s">
        <v>11</v>
      </c>
      <c r="H5" s="59" t="s">
        <v>12</v>
      </c>
      <c r="I5" s="59" t="s">
        <v>13</v>
      </c>
      <c r="J5" s="60" t="s">
        <v>14</v>
      </c>
      <c r="K5" s="59" t="s">
        <v>15</v>
      </c>
      <c r="L5" s="60" t="s">
        <v>16</v>
      </c>
      <c r="M5" s="60" t="s">
        <v>17</v>
      </c>
      <c r="N5" s="60" t="s">
        <v>18</v>
      </c>
      <c r="O5" s="60" t="s">
        <v>19</v>
      </c>
      <c r="P5" s="60" t="s">
        <v>20</v>
      </c>
      <c r="Q5" s="60" t="s">
        <v>21</v>
      </c>
      <c r="R5" s="60" t="s">
        <v>213</v>
      </c>
      <c r="S5" s="60" t="s">
        <v>22</v>
      </c>
      <c r="T5" s="60" t="s">
        <v>23</v>
      </c>
      <c r="U5" s="60" t="s">
        <v>24</v>
      </c>
      <c r="V5" s="60" t="s">
        <v>214</v>
      </c>
      <c r="W5" s="60" t="s">
        <v>25</v>
      </c>
      <c r="X5" s="60" t="s">
        <v>26</v>
      </c>
      <c r="Y5" s="60" t="s">
        <v>27</v>
      </c>
      <c r="Z5" s="60" t="s">
        <v>28</v>
      </c>
      <c r="AA5" s="60" t="s">
        <v>29</v>
      </c>
      <c r="AB5" s="60" t="s">
        <v>30</v>
      </c>
      <c r="AC5" s="60" t="s">
        <v>31</v>
      </c>
      <c r="AD5" s="60" t="s">
        <v>32</v>
      </c>
      <c r="AE5" s="60" t="s">
        <v>33</v>
      </c>
      <c r="AF5" s="60" t="s">
        <v>34</v>
      </c>
      <c r="AG5" s="60" t="s">
        <v>35</v>
      </c>
      <c r="AH5" s="60" t="s">
        <v>36</v>
      </c>
      <c r="AI5" s="59" t="s">
        <v>37</v>
      </c>
      <c r="AJ5" s="61" t="s">
        <v>38</v>
      </c>
      <c r="AK5" s="61" t="s">
        <v>39</v>
      </c>
      <c r="AL5" s="61" t="s">
        <v>40</v>
      </c>
      <c r="AS5" s="41"/>
    </row>
    <row r="6" spans="1:45" s="40" customFormat="1" ht="14" customHeight="1">
      <c r="A6" s="6"/>
      <c r="B6" s="6"/>
      <c r="C6" s="6"/>
      <c r="D6" s="43" t="str">
        <f>IF(Table7[[#This Row],[dataType]]="","",IF(NOT(ISNA(VLOOKUP(Table7[[#This Row],[dataType]], 'dataType Definition'!A:A, 1,FALSE))), "○", "×"))</f>
        <v/>
      </c>
      <c r="E6" s="9"/>
      <c r="F6" s="8"/>
      <c r="G6" s="8"/>
      <c r="H6" s="8"/>
      <c r="I6" s="8"/>
      <c r="J6" s="8"/>
      <c r="K6" s="39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25"/>
      <c r="AI6" s="42"/>
      <c r="AJ6" s="50"/>
      <c r="AK6" s="42"/>
      <c r="AL6" s="39"/>
      <c r="AS6" s="41"/>
    </row>
    <row r="7" spans="1:45" s="40" customFormat="1" ht="14" customHeight="1">
      <c r="A7" s="6"/>
      <c r="B7" s="6"/>
      <c r="C7" s="6"/>
      <c r="D7" s="43" t="str">
        <f>IF(Table7[[#This Row],[dataType]]="","",IF(NOT(ISNA(VLOOKUP(Table7[[#This Row],[dataType]], 'dataType Definition'!A:A, 1,FALSE))), "○", "×"))</f>
        <v/>
      </c>
      <c r="E7" s="9"/>
      <c r="F7" s="8"/>
      <c r="G7" s="8"/>
      <c r="H7" s="8"/>
      <c r="I7" s="8"/>
      <c r="J7" s="8"/>
      <c r="K7" s="39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25"/>
      <c r="AI7" s="6"/>
      <c r="AJ7" s="6"/>
      <c r="AK7" s="42"/>
      <c r="AL7" s="39"/>
      <c r="AS7" s="41"/>
    </row>
    <row r="8" spans="1:45" s="40" customFormat="1" ht="14" customHeight="1">
      <c r="A8" s="6"/>
      <c r="B8" s="6"/>
      <c r="C8" s="6"/>
      <c r="D8" s="43" t="str">
        <f>IF(Table7[[#This Row],[dataType]]="","",IF(NOT(ISNA(VLOOKUP(Table7[[#This Row],[dataType]], 'dataType Definition'!A:A, 1,FALSE))), "○", "×"))</f>
        <v/>
      </c>
      <c r="E8" s="9"/>
      <c r="F8" s="39"/>
      <c r="G8" s="39"/>
      <c r="H8" s="8"/>
      <c r="I8" s="8"/>
      <c r="J8" s="8"/>
      <c r="K8" s="39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25"/>
      <c r="AI8" s="6"/>
      <c r="AJ8" s="6"/>
      <c r="AK8" s="42"/>
      <c r="AL8" s="39"/>
      <c r="AS8" s="41"/>
    </row>
  </sheetData>
  <dataValidations count="4">
    <dataValidation type="list" allowBlank="1" showInputMessage="1" showErrorMessage="1" sqref="O6:O8" xr:uid="{00000000-0002-0000-0700-000000000000}">
      <formula1>"@ManyToOne,@OneToOne"</formula1>
    </dataValidation>
    <dataValidation type="list" allowBlank="1" showInputMessage="1" showErrorMessage="1" sqref="P6:P8" xr:uid="{00000000-0002-0000-0700-000001000000}">
      <formula1>"unidirectional,bidirectional"</formula1>
    </dataValidation>
    <dataValidation type="list" allowBlank="1" showInputMessage="1" showErrorMessage="1" sqref="W6:W8 E6:E8 F6:F8 H6:M8 G6:G8" xr:uid="{00000000-0002-0000-0700-000002000000}">
      <formula1>"○"</formula1>
    </dataValidation>
    <dataValidation type="list" allowBlank="1" showInputMessage="1" showErrorMessage="1" sqref="N6:N8" xr:uid="{00000000-0002-0000-0700-000003000000}">
      <formula1>"CB,CD,LB,LD"</formula1>
    </dataValidation>
  </dataValidations>
  <pageMargins left="0.7" right="0.7" top="0.75" bottom="0.75" header="0.3" footer="0.3"/>
  <pageSetup paperSize="9" scale="41" orientation="portrait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L8"/>
  <sheetViews>
    <sheetView zoomScaleNormal="100" zoomScaleSheetLayoutView="80" workbookViewId="0">
      <pane ySplit="5" topLeftCell="A6" activePane="bottomLeft" state="frozen"/>
      <selection activeCell="I9" sqref="I9"/>
      <selection pane="bottomLeft"/>
    </sheetView>
  </sheetViews>
  <sheetFormatPr baseColWidth="10" defaultColWidth="8.83203125" defaultRowHeight="15" outlineLevelCol="2"/>
  <cols>
    <col min="1" max="1" width="39.1640625" style="35" bestFit="1" customWidth="1"/>
    <col min="2" max="2" width="27.83203125" style="35" customWidth="1"/>
    <col min="3" max="3" width="36" style="35" bestFit="1" customWidth="1"/>
    <col min="4" max="4" width="16.5" style="35" customWidth="1" outlineLevel="1"/>
    <col min="5" max="5" width="9.5" style="35" customWidth="1" outlineLevel="2"/>
    <col min="6" max="6" width="10.83203125" style="36" customWidth="1" outlineLevel="2"/>
    <col min="7" max="7" width="11.5" style="37" customWidth="1" outlineLevel="2"/>
    <col min="8" max="8" width="8.83203125" style="37" customWidth="1" outlineLevel="2"/>
    <col min="9" max="10" width="8.33203125" style="37" customWidth="1" outlineLevel="2"/>
    <col min="11" max="12" width="8.5" style="37" customWidth="1" outlineLevel="2"/>
    <col min="13" max="13" width="9.33203125" style="37" customWidth="1" outlineLevel="2"/>
    <col min="14" max="14" width="8.5" style="37" customWidth="1" outlineLevel="1"/>
    <col min="15" max="16" width="18.33203125" style="37" customWidth="1" outlineLevel="2"/>
    <col min="17" max="17" width="29.5" style="37" customWidth="1" outlineLevel="2"/>
    <col min="18" max="18" width="20.33203125" style="37" customWidth="1" outlineLevel="2"/>
    <col min="19" max="19" width="29" style="37" customWidth="1" outlineLevel="2"/>
    <col min="20" max="22" width="18.33203125" style="37" customWidth="1" outlineLevel="2"/>
    <col min="23" max="23" width="17.1640625" style="37" bestFit="1" customWidth="1" outlineLevel="1"/>
    <col min="24" max="25" width="9.1640625" style="37" hidden="1" customWidth="1" outlineLevel="2"/>
    <col min="26" max="26" width="9.33203125" style="37" hidden="1" customWidth="1" outlineLevel="2"/>
    <col min="27" max="27" width="37.5" style="35" hidden="1" customWidth="1" outlineLevel="2"/>
    <col min="28" max="33" width="19.33203125" style="38" hidden="1" customWidth="1" outlineLevel="2"/>
    <col min="34" max="34" width="19.33203125" style="38" customWidth="1" outlineLevel="1" collapsed="1"/>
    <col min="35" max="38" width="19.33203125" style="38" customWidth="1"/>
  </cols>
  <sheetData>
    <row r="1" spans="1:38">
      <c r="A1" s="7" t="s">
        <v>0</v>
      </c>
    </row>
    <row r="2" spans="1:38" ht="16" customHeight="1">
      <c r="AI2" s="57" t="s">
        <v>1</v>
      </c>
      <c r="AJ2" s="57" t="s">
        <v>2</v>
      </c>
      <c r="AK2" s="57" t="s">
        <v>3</v>
      </c>
      <c r="AL2" s="57" t="s">
        <v>4</v>
      </c>
    </row>
    <row r="3" spans="1:38">
      <c r="A3" s="49"/>
      <c r="AI3" s="32" t="str">
        <f>IF('General Settings'!$G$11=0,"",'General Settings'!$G$11)</f>
        <v>en</v>
      </c>
      <c r="AJ3" s="32" t="str">
        <f>IF('General Settings'!$G$12=0,"",'General Settings'!$G$12)</f>
        <v/>
      </c>
      <c r="AK3" s="32" t="str">
        <f>IF('General Settings'!$G$13=0,"",'General Settings'!$G$13)</f>
        <v/>
      </c>
      <c r="AL3" s="32" t="str">
        <f>IF('General Settings'!$G$14=0,"",'General Settings'!$G$14)</f>
        <v/>
      </c>
    </row>
    <row r="4" spans="1:38">
      <c r="A4" s="34"/>
    </row>
    <row r="5" spans="1:38" s="1" customFormat="1" ht="43" customHeight="1">
      <c r="A5" s="81" t="s">
        <v>5</v>
      </c>
      <c r="B5" s="39" t="s">
        <v>6</v>
      </c>
      <c r="C5" s="39" t="s">
        <v>7</v>
      </c>
      <c r="D5" s="58" t="s">
        <v>8</v>
      </c>
      <c r="E5" s="39" t="s">
        <v>9</v>
      </c>
      <c r="F5" s="59" t="s">
        <v>10</v>
      </c>
      <c r="G5" s="59" t="s">
        <v>11</v>
      </c>
      <c r="H5" s="59" t="s">
        <v>12</v>
      </c>
      <c r="I5" s="59" t="s">
        <v>13</v>
      </c>
      <c r="J5" s="60" t="s">
        <v>14</v>
      </c>
      <c r="K5" s="59" t="s">
        <v>15</v>
      </c>
      <c r="L5" s="60" t="s">
        <v>16</v>
      </c>
      <c r="M5" s="60" t="s">
        <v>17</v>
      </c>
      <c r="N5" s="60" t="s">
        <v>18</v>
      </c>
      <c r="O5" s="60" t="s">
        <v>19</v>
      </c>
      <c r="P5" s="60" t="s">
        <v>20</v>
      </c>
      <c r="Q5" s="60" t="s">
        <v>21</v>
      </c>
      <c r="R5" s="60" t="s">
        <v>213</v>
      </c>
      <c r="S5" s="60" t="s">
        <v>22</v>
      </c>
      <c r="T5" s="60" t="s">
        <v>23</v>
      </c>
      <c r="U5" s="60" t="s">
        <v>24</v>
      </c>
      <c r="V5" s="60" t="s">
        <v>214</v>
      </c>
      <c r="W5" s="60" t="s">
        <v>25</v>
      </c>
      <c r="X5" s="86" t="s">
        <v>26</v>
      </c>
      <c r="Y5" s="86" t="s">
        <v>27</v>
      </c>
      <c r="Z5" s="86" t="s">
        <v>28</v>
      </c>
      <c r="AA5" s="86" t="s">
        <v>29</v>
      </c>
      <c r="AB5" s="86" t="s">
        <v>30</v>
      </c>
      <c r="AC5" s="86" t="s">
        <v>31</v>
      </c>
      <c r="AD5" s="86" t="s">
        <v>32</v>
      </c>
      <c r="AE5" s="86" t="s">
        <v>33</v>
      </c>
      <c r="AF5" s="86" t="s">
        <v>34</v>
      </c>
      <c r="AG5" s="86" t="s">
        <v>35</v>
      </c>
      <c r="AH5" s="60" t="s">
        <v>36</v>
      </c>
      <c r="AI5" s="59" t="s">
        <v>37</v>
      </c>
      <c r="AJ5" s="61" t="s">
        <v>38</v>
      </c>
      <c r="AK5" s="61" t="s">
        <v>39</v>
      </c>
      <c r="AL5" s="61" t="s">
        <v>40</v>
      </c>
    </row>
    <row r="6" spans="1:38" s="1" customFormat="1">
      <c r="A6" s="65"/>
      <c r="B6" s="67"/>
      <c r="C6" s="66"/>
      <c r="D6" s="101" t="str">
        <f>IF(Table74[[#This Row],[dataType]]="","",IF(NOT(ISNA(VLOOKUP(Table74[[#This Row],[dataType]], 'dataType Definition'!A:A, 1,FALSE))), "○", "×"))</f>
        <v/>
      </c>
      <c r="E6" s="68"/>
      <c r="F6" s="8"/>
      <c r="G6" s="8"/>
      <c r="H6" s="8"/>
      <c r="I6" s="69"/>
      <c r="J6" s="69"/>
      <c r="K6" s="70"/>
      <c r="L6" s="71"/>
      <c r="M6" s="67"/>
      <c r="N6" s="72"/>
      <c r="O6" s="72"/>
      <c r="P6" s="72"/>
      <c r="Q6" s="72"/>
      <c r="R6" s="72"/>
      <c r="S6" s="70"/>
      <c r="T6" s="70"/>
      <c r="U6" s="52"/>
      <c r="V6" s="52"/>
      <c r="W6" s="76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82"/>
      <c r="AI6" s="66"/>
      <c r="AJ6" s="50"/>
      <c r="AK6" s="42"/>
      <c r="AL6" s="39"/>
    </row>
    <row r="7" spans="1:38" s="1" customFormat="1">
      <c r="A7" s="73"/>
      <c r="B7" s="75"/>
      <c r="C7" s="74"/>
      <c r="D7" s="101" t="str">
        <f>IF(Table74[[#This Row],[dataType]]="","",IF(NOT(ISNA(VLOOKUP(Table74[[#This Row],[dataType]], 'dataType Definition'!A:A, 1,FALSE))), "○", "×"))</f>
        <v/>
      </c>
      <c r="E7" s="76"/>
      <c r="F7" s="8"/>
      <c r="G7" s="8"/>
      <c r="H7" s="8"/>
      <c r="I7" s="77"/>
      <c r="J7" s="77"/>
      <c r="K7" s="52"/>
      <c r="L7" s="77"/>
      <c r="M7" s="52"/>
      <c r="N7" s="46"/>
      <c r="O7" s="46"/>
      <c r="P7" s="46"/>
      <c r="Q7" s="46"/>
      <c r="R7" s="46"/>
      <c r="S7" s="52"/>
      <c r="T7" s="52"/>
      <c r="U7" s="52"/>
      <c r="V7" s="52"/>
      <c r="W7" s="76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83"/>
      <c r="AI7" s="74"/>
      <c r="AJ7" s="50"/>
      <c r="AK7" s="42"/>
      <c r="AL7" s="39"/>
    </row>
    <row r="8" spans="1:38" s="1" customFormat="1">
      <c r="A8" s="65"/>
      <c r="B8" s="67"/>
      <c r="C8" s="78"/>
      <c r="D8" s="101" t="str">
        <f>IF(Table74[[#This Row],[dataType]]="","",IF(NOT(ISNA(VLOOKUP(Table74[[#This Row],[dataType]], 'dataType Definition'!A:A, 1,FALSE))), "○", "×"))</f>
        <v/>
      </c>
      <c r="E8" s="68"/>
      <c r="F8" s="8"/>
      <c r="G8" s="8"/>
      <c r="H8" s="8"/>
      <c r="I8" s="68"/>
      <c r="J8" s="68"/>
      <c r="K8" s="70"/>
      <c r="L8" s="71"/>
      <c r="M8" s="67"/>
      <c r="N8" s="72"/>
      <c r="O8" s="72"/>
      <c r="P8" s="72"/>
      <c r="Q8" s="72"/>
      <c r="R8" s="72"/>
      <c r="S8" s="79"/>
      <c r="T8" s="79"/>
      <c r="U8" s="84"/>
      <c r="V8" s="84"/>
      <c r="W8" s="76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5"/>
      <c r="AI8" s="66"/>
      <c r="AJ8" s="50"/>
      <c r="AK8" s="42"/>
      <c r="AL8" s="39"/>
    </row>
  </sheetData>
  <dataValidations count="4">
    <dataValidation type="list" allowBlank="1" showInputMessage="1" showErrorMessage="1" sqref="N6:N8" xr:uid="{00000000-0002-0000-0800-000000000000}">
      <formula1>"CB,CD,LB,LD"</formula1>
    </dataValidation>
    <dataValidation type="list" allowBlank="1" showInputMessage="1" showErrorMessage="1" sqref="W6:W8 E6:G8 I6:M8 H6:H8" xr:uid="{00000000-0002-0000-0800-000001000000}">
      <formula1>"○"</formula1>
    </dataValidation>
    <dataValidation type="list" allowBlank="1" showInputMessage="1" showErrorMessage="1" sqref="O6:O8" xr:uid="{00000000-0002-0000-0800-000002000000}">
      <formula1>"@ManyToOne,@OneToOne"</formula1>
    </dataValidation>
    <dataValidation type="list" allowBlank="1" showInputMessage="1" showErrorMessage="1" sqref="P6:P8" xr:uid="{00000000-0002-0000-0800-000003000000}">
      <formula1>"unidirectional,bidirectional"</formula1>
    </dataValidation>
  </dataValidations>
  <pageMargins left="0.7" right="0.7" top="0.75" bottom="0.75" header="0.3" footer="0.3"/>
  <pageSetup paperSize="9" scale="41" orientation="portrait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0"/>
  <sheetViews>
    <sheetView workbookViewId="0"/>
  </sheetViews>
  <sheetFormatPr baseColWidth="10" defaultRowHeight="15"/>
  <cols>
    <col min="1" max="1" width="39.1640625" bestFit="1" customWidth="1"/>
    <col min="2" max="2" width="31" bestFit="1" customWidth="1"/>
    <col min="3" max="4" width="31" customWidth="1"/>
    <col min="5" max="5" width="26.33203125" bestFit="1" customWidth="1"/>
  </cols>
  <sheetData>
    <row r="1" spans="1:5">
      <c r="A1" s="7" t="s">
        <v>205</v>
      </c>
    </row>
    <row r="2" spans="1:5" ht="16" customHeight="1">
      <c r="B2" s="57" t="s">
        <v>1</v>
      </c>
      <c r="C2" s="57" t="s">
        <v>2</v>
      </c>
      <c r="D2" s="57" t="s">
        <v>3</v>
      </c>
      <c r="E2" s="57" t="s">
        <v>4</v>
      </c>
    </row>
    <row r="3" spans="1:5">
      <c r="B3" s="32" t="str">
        <f>IF('General Settings'!$G$11=0,"",'General Settings'!$G$11)</f>
        <v>en</v>
      </c>
      <c r="C3" s="32" t="str">
        <f>IF('General Settings'!$G$12=0,"",'General Settings'!$G$12)</f>
        <v/>
      </c>
      <c r="D3" s="32" t="str">
        <f>IF('General Settings'!$G$13=0,"",'General Settings'!$G$13)</f>
        <v/>
      </c>
      <c r="E3" s="32" t="str">
        <f>IF('General Settings'!$G$14=0,"",'General Settings'!$G$14)</f>
        <v/>
      </c>
    </row>
    <row r="5" spans="1:5">
      <c r="A5" s="89" t="s">
        <v>5</v>
      </c>
      <c r="B5" s="90" t="s">
        <v>206</v>
      </c>
      <c r="C5" s="91" t="s">
        <v>207</v>
      </c>
      <c r="D5" s="91" t="s">
        <v>208</v>
      </c>
      <c r="E5" s="91" t="s">
        <v>209</v>
      </c>
    </row>
    <row r="6" spans="1:5">
      <c r="A6" s="92" t="e" cm="1" vm="1">
        <f t="array" ref="A6">_xlfn.UNIQUE(_xlfn._xlws.FILTER(Table7[Table Name], Table7[Table Name]&lt;&gt;""))</f>
        <v>#VALUE!</v>
      </c>
      <c r="B6" s="93"/>
      <c r="C6" s="93"/>
      <c r="D6" s="93"/>
      <c r="E6" s="94"/>
    </row>
    <row r="7" spans="1:5">
      <c r="A7" s="95"/>
      <c r="B7" s="96"/>
      <c r="C7" s="96"/>
      <c r="D7" s="96"/>
      <c r="E7" s="97"/>
    </row>
    <row r="8" spans="1:5">
      <c r="A8" s="92"/>
      <c r="B8" s="93"/>
      <c r="C8" s="93"/>
      <c r="D8" s="93"/>
      <c r="E8" s="94"/>
    </row>
    <row r="9" spans="1:5">
      <c r="A9" s="95"/>
      <c r="B9" s="96"/>
      <c r="C9" s="96"/>
      <c r="D9" s="96"/>
      <c r="E9" s="97"/>
    </row>
    <row r="10" spans="1:5">
      <c r="A10" s="92"/>
      <c r="B10" s="93"/>
      <c r="C10" s="93"/>
      <c r="D10" s="93"/>
      <c r="E10" s="94"/>
    </row>
    <row r="11" spans="1:5">
      <c r="A11" s="95"/>
      <c r="B11" s="96"/>
      <c r="C11" s="96"/>
      <c r="D11" s="96"/>
      <c r="E11" s="97"/>
    </row>
    <row r="12" spans="1:5">
      <c r="A12" s="92"/>
      <c r="B12" s="93"/>
      <c r="C12" s="93"/>
      <c r="D12" s="93"/>
      <c r="E12" s="94"/>
    </row>
    <row r="13" spans="1:5">
      <c r="A13" s="95"/>
      <c r="B13" s="96"/>
      <c r="C13" s="96"/>
      <c r="D13" s="96"/>
      <c r="E13" s="97"/>
    </row>
    <row r="14" spans="1:5">
      <c r="A14" s="92"/>
      <c r="B14" s="93"/>
      <c r="C14" s="93"/>
      <c r="D14" s="93"/>
      <c r="E14" s="94"/>
    </row>
    <row r="15" spans="1:5">
      <c r="A15" s="95"/>
      <c r="B15" s="96"/>
      <c r="C15" s="96"/>
      <c r="D15" s="96"/>
      <c r="E15" s="97"/>
    </row>
    <row r="16" spans="1:5">
      <c r="A16" s="92"/>
      <c r="B16" s="93"/>
      <c r="C16" s="93"/>
      <c r="D16" s="93"/>
      <c r="E16" s="94"/>
    </row>
    <row r="17" spans="1:5">
      <c r="A17" s="95"/>
      <c r="B17" s="96"/>
      <c r="C17" s="96"/>
      <c r="D17" s="96"/>
      <c r="E17" s="97"/>
    </row>
    <row r="18" spans="1:5">
      <c r="A18" s="92"/>
      <c r="B18" s="93"/>
      <c r="C18" s="93"/>
      <c r="D18" s="93"/>
      <c r="E18" s="94"/>
    </row>
    <row r="19" spans="1:5">
      <c r="A19" s="95"/>
      <c r="B19" s="96"/>
      <c r="C19" s="96"/>
      <c r="D19" s="96"/>
      <c r="E19" s="97"/>
    </row>
    <row r="20" spans="1:5">
      <c r="A20" s="92"/>
      <c r="B20" s="93"/>
      <c r="C20" s="93"/>
      <c r="D20" s="93"/>
      <c r="E20" s="94"/>
    </row>
    <row r="21" spans="1:5">
      <c r="A21" s="95"/>
      <c r="B21" s="96"/>
      <c r="C21" s="96"/>
      <c r="D21" s="96"/>
      <c r="E21" s="97"/>
    </row>
    <row r="22" spans="1:5">
      <c r="A22" s="92"/>
      <c r="B22" s="93"/>
      <c r="C22" s="93"/>
      <c r="D22" s="93"/>
      <c r="E22" s="94"/>
    </row>
    <row r="23" spans="1:5">
      <c r="A23" s="95"/>
      <c r="B23" s="96"/>
      <c r="C23" s="96"/>
      <c r="D23" s="96"/>
      <c r="E23" s="97"/>
    </row>
    <row r="24" spans="1:5">
      <c r="A24" s="92"/>
      <c r="B24" s="93"/>
      <c r="C24" s="93"/>
      <c r="D24" s="93"/>
      <c r="E24" s="94"/>
    </row>
    <row r="25" spans="1:5">
      <c r="A25" s="95"/>
      <c r="B25" s="96"/>
      <c r="C25" s="96"/>
      <c r="D25" s="96"/>
      <c r="E25" s="97"/>
    </row>
    <row r="26" spans="1:5">
      <c r="A26" s="92"/>
      <c r="B26" s="93"/>
      <c r="C26" s="93"/>
      <c r="D26" s="93"/>
      <c r="E26" s="94"/>
    </row>
    <row r="27" spans="1:5">
      <c r="A27" s="95"/>
      <c r="B27" s="96"/>
      <c r="C27" s="96"/>
      <c r="D27" s="96"/>
      <c r="E27" s="97"/>
    </row>
    <row r="28" spans="1:5">
      <c r="A28" s="98"/>
      <c r="B28" s="87"/>
      <c r="C28" s="87"/>
      <c r="D28" s="87"/>
      <c r="E28" s="88"/>
    </row>
    <row r="29" spans="1:5">
      <c r="A29" s="95"/>
      <c r="B29" s="96"/>
      <c r="C29" s="96"/>
      <c r="D29" s="96"/>
      <c r="E29" s="97"/>
    </row>
    <row r="30" spans="1:5">
      <c r="A30" s="98"/>
      <c r="B30" s="87"/>
      <c r="C30" s="87"/>
      <c r="D30" s="87"/>
      <c r="E30" s="88"/>
    </row>
    <row r="31" spans="1:5">
      <c r="A31" s="95"/>
      <c r="B31" s="96"/>
      <c r="C31" s="96"/>
      <c r="D31" s="96"/>
      <c r="E31" s="97"/>
    </row>
    <row r="32" spans="1:5">
      <c r="A32" s="98"/>
      <c r="B32" s="87"/>
      <c r="C32" s="87"/>
      <c r="D32" s="87"/>
      <c r="E32" s="88"/>
    </row>
    <row r="33" spans="1:5">
      <c r="A33" s="95"/>
      <c r="B33" s="96"/>
      <c r="C33" s="96"/>
      <c r="D33" s="96"/>
      <c r="E33" s="97"/>
    </row>
    <row r="34" spans="1:5">
      <c r="A34" s="98"/>
      <c r="B34" s="87"/>
      <c r="C34" s="87"/>
      <c r="D34" s="87"/>
      <c r="E34" s="88"/>
    </row>
    <row r="35" spans="1:5">
      <c r="A35" s="95"/>
      <c r="B35" s="96"/>
      <c r="C35" s="96"/>
      <c r="D35" s="96"/>
      <c r="E35" s="97"/>
    </row>
    <row r="36" spans="1:5">
      <c r="A36" s="98"/>
      <c r="B36" s="87"/>
      <c r="C36" s="87"/>
      <c r="D36" s="87"/>
      <c r="E36" s="88"/>
    </row>
    <row r="37" spans="1:5">
      <c r="A37" s="95"/>
      <c r="B37" s="96"/>
      <c r="C37" s="96"/>
      <c r="D37" s="96"/>
      <c r="E37" s="97"/>
    </row>
    <row r="38" spans="1:5">
      <c r="A38" s="98"/>
      <c r="B38" s="87"/>
      <c r="C38" s="87"/>
      <c r="D38" s="87"/>
      <c r="E38" s="88"/>
    </row>
    <row r="39" spans="1:5">
      <c r="A39" s="95"/>
      <c r="B39" s="96"/>
      <c r="C39" s="96"/>
      <c r="D39" s="96"/>
      <c r="E39" s="97"/>
    </row>
    <row r="40" spans="1:5">
      <c r="A40" s="98"/>
      <c r="B40" s="87"/>
      <c r="C40" s="87"/>
      <c r="D40" s="87"/>
      <c r="E40" s="88"/>
    </row>
    <row r="41" spans="1:5">
      <c r="A41" s="95"/>
      <c r="B41" s="96"/>
      <c r="C41" s="96"/>
      <c r="D41" s="96"/>
      <c r="E41" s="97"/>
    </row>
    <row r="42" spans="1:5">
      <c r="A42" s="98"/>
      <c r="B42" s="87"/>
      <c r="C42" s="87"/>
      <c r="D42" s="87"/>
      <c r="E42" s="88"/>
    </row>
    <row r="43" spans="1:5">
      <c r="A43" s="95"/>
      <c r="B43" s="96"/>
      <c r="C43" s="96"/>
      <c r="D43" s="96"/>
      <c r="E43" s="97"/>
    </row>
    <row r="44" spans="1:5">
      <c r="A44" s="98"/>
      <c r="B44" s="87"/>
      <c r="C44" s="87"/>
      <c r="D44" s="87"/>
      <c r="E44" s="88"/>
    </row>
    <row r="45" spans="1:5">
      <c r="A45" s="95"/>
      <c r="B45" s="96"/>
      <c r="C45" s="96"/>
      <c r="D45" s="96"/>
      <c r="E45" s="97"/>
    </row>
    <row r="46" spans="1:5">
      <c r="A46" s="98"/>
      <c r="B46" s="87"/>
      <c r="C46" s="87"/>
      <c r="D46" s="87"/>
      <c r="E46" s="88"/>
    </row>
    <row r="47" spans="1:5">
      <c r="A47" s="95"/>
      <c r="B47" s="96"/>
      <c r="C47" s="96"/>
      <c r="D47" s="96"/>
      <c r="E47" s="97"/>
    </row>
    <row r="48" spans="1:5">
      <c r="A48" s="98"/>
      <c r="B48" s="87"/>
      <c r="C48" s="87"/>
      <c r="D48" s="87"/>
      <c r="E48" s="88"/>
    </row>
    <row r="49" spans="1:5">
      <c r="A49" s="95"/>
      <c r="B49" s="96"/>
      <c r="C49" s="96"/>
      <c r="D49" s="96"/>
      <c r="E49" s="97"/>
    </row>
    <row r="50" spans="1:5">
      <c r="A50" s="98"/>
      <c r="B50" s="87"/>
      <c r="C50" s="87"/>
      <c r="D50" s="87"/>
      <c r="E50" s="88"/>
    </row>
    <row r="51" spans="1:5">
      <c r="A51" s="95"/>
      <c r="B51" s="96"/>
      <c r="C51" s="96"/>
      <c r="D51" s="96"/>
      <c r="E51" s="97"/>
    </row>
    <row r="52" spans="1:5">
      <c r="A52" s="98"/>
      <c r="B52" s="87"/>
      <c r="C52" s="87"/>
      <c r="D52" s="87"/>
      <c r="E52" s="88"/>
    </row>
    <row r="53" spans="1:5">
      <c r="A53" s="95"/>
      <c r="B53" s="96"/>
      <c r="C53" s="96"/>
      <c r="D53" s="96"/>
      <c r="E53" s="97"/>
    </row>
    <row r="54" spans="1:5">
      <c r="A54" s="98"/>
      <c r="B54" s="87"/>
      <c r="C54" s="87"/>
      <c r="D54" s="87"/>
      <c r="E54" s="88"/>
    </row>
    <row r="55" spans="1:5">
      <c r="A55" s="95"/>
      <c r="B55" s="96"/>
      <c r="C55" s="96"/>
      <c r="D55" s="96"/>
      <c r="E55" s="97"/>
    </row>
    <row r="56" spans="1:5">
      <c r="A56" s="98"/>
      <c r="B56" s="87"/>
      <c r="C56" s="87"/>
      <c r="D56" s="87"/>
      <c r="E56" s="88"/>
    </row>
    <row r="57" spans="1:5">
      <c r="A57" s="95"/>
      <c r="B57" s="96"/>
      <c r="C57" s="96"/>
      <c r="D57" s="96"/>
      <c r="E57" s="97"/>
    </row>
    <row r="58" spans="1:5">
      <c r="A58" s="98"/>
      <c r="B58" s="87"/>
      <c r="C58" s="87"/>
      <c r="D58" s="87"/>
      <c r="E58" s="88"/>
    </row>
    <row r="59" spans="1:5">
      <c r="A59" s="95"/>
      <c r="B59" s="96"/>
      <c r="C59" s="96"/>
      <c r="D59" s="96"/>
      <c r="E59" s="97"/>
    </row>
    <row r="60" spans="1:5">
      <c r="A60" s="98"/>
      <c r="B60" s="87"/>
      <c r="C60" s="87"/>
      <c r="D60" s="87"/>
      <c r="E60" s="88"/>
    </row>
    <row r="61" spans="1:5">
      <c r="A61" s="95"/>
      <c r="B61" s="96"/>
      <c r="C61" s="96"/>
      <c r="D61" s="96"/>
      <c r="E61" s="97"/>
    </row>
    <row r="62" spans="1:5">
      <c r="A62" s="98"/>
      <c r="B62" s="87"/>
      <c r="C62" s="87"/>
      <c r="D62" s="87"/>
      <c r="E62" s="88"/>
    </row>
    <row r="63" spans="1:5">
      <c r="A63" s="95"/>
      <c r="B63" s="96"/>
      <c r="C63" s="96"/>
      <c r="D63" s="96"/>
      <c r="E63" s="97"/>
    </row>
    <row r="64" spans="1:5">
      <c r="A64" s="98"/>
      <c r="B64" s="87"/>
      <c r="C64" s="87"/>
      <c r="D64" s="87"/>
      <c r="E64" s="88"/>
    </row>
    <row r="65" spans="1:5">
      <c r="A65" s="95"/>
      <c r="B65" s="96"/>
      <c r="C65" s="96"/>
      <c r="D65" s="96"/>
      <c r="E65" s="97"/>
    </row>
    <row r="66" spans="1:5">
      <c r="A66" s="98"/>
      <c r="B66" s="87"/>
      <c r="C66" s="87"/>
      <c r="D66" s="87"/>
      <c r="E66" s="88"/>
    </row>
    <row r="67" spans="1:5">
      <c r="A67" s="95"/>
      <c r="B67" s="96"/>
      <c r="C67" s="96"/>
      <c r="D67" s="96"/>
      <c r="E67" s="97"/>
    </row>
    <row r="68" spans="1:5">
      <c r="A68" s="98"/>
      <c r="B68" s="87"/>
      <c r="C68" s="87"/>
      <c r="D68" s="87"/>
      <c r="E68" s="88"/>
    </row>
    <row r="69" spans="1:5">
      <c r="A69" s="95"/>
      <c r="B69" s="96"/>
      <c r="C69" s="96"/>
      <c r="D69" s="96"/>
      <c r="E69" s="97"/>
    </row>
    <row r="70" spans="1:5">
      <c r="A70" s="98"/>
      <c r="B70" s="87"/>
      <c r="C70" s="87"/>
      <c r="D70" s="87"/>
      <c r="E70" s="88"/>
    </row>
    <row r="71" spans="1:5">
      <c r="A71" s="95"/>
      <c r="B71" s="96"/>
      <c r="C71" s="96"/>
      <c r="D71" s="96"/>
      <c r="E71" s="97"/>
    </row>
    <row r="72" spans="1:5">
      <c r="A72" s="98"/>
      <c r="B72" s="87"/>
      <c r="C72" s="87"/>
      <c r="D72" s="87"/>
      <c r="E72" s="88"/>
    </row>
    <row r="73" spans="1:5">
      <c r="A73" s="95"/>
      <c r="B73" s="96"/>
      <c r="C73" s="96"/>
      <c r="D73" s="96"/>
      <c r="E73" s="97"/>
    </row>
    <row r="74" spans="1:5">
      <c r="A74" s="98"/>
      <c r="B74" s="87"/>
      <c r="C74" s="87"/>
      <c r="D74" s="87"/>
      <c r="E74" s="88"/>
    </row>
    <row r="75" spans="1:5">
      <c r="A75" s="95"/>
      <c r="B75" s="96"/>
      <c r="C75" s="96"/>
      <c r="D75" s="96"/>
      <c r="E75" s="97"/>
    </row>
    <row r="76" spans="1:5">
      <c r="A76" s="98"/>
      <c r="B76" s="87"/>
      <c r="C76" s="87"/>
      <c r="D76" s="87"/>
      <c r="E76" s="88"/>
    </row>
    <row r="77" spans="1:5">
      <c r="A77" s="95"/>
      <c r="B77" s="96"/>
      <c r="C77" s="96"/>
      <c r="D77" s="96"/>
      <c r="E77" s="97"/>
    </row>
    <row r="78" spans="1:5">
      <c r="A78" s="98"/>
      <c r="B78" s="87"/>
      <c r="C78" s="87"/>
      <c r="D78" s="87"/>
      <c r="E78" s="88"/>
    </row>
    <row r="79" spans="1:5">
      <c r="A79" s="95"/>
      <c r="B79" s="96"/>
      <c r="C79" s="96"/>
      <c r="D79" s="96"/>
      <c r="E79" s="97"/>
    </row>
    <row r="80" spans="1:5">
      <c r="A80" s="98"/>
      <c r="B80" s="87"/>
      <c r="C80" s="87"/>
      <c r="D80" s="87"/>
      <c r="E80" s="88"/>
    </row>
    <row r="81" spans="1:5">
      <c r="A81" s="95"/>
      <c r="B81" s="96"/>
      <c r="C81" s="96"/>
      <c r="D81" s="96"/>
      <c r="E81" s="97"/>
    </row>
    <row r="82" spans="1:5">
      <c r="A82" s="98"/>
      <c r="B82" s="87"/>
      <c r="C82" s="87"/>
      <c r="D82" s="87"/>
      <c r="E82" s="88"/>
    </row>
    <row r="83" spans="1:5">
      <c r="A83" s="95"/>
      <c r="B83" s="96"/>
      <c r="C83" s="96"/>
      <c r="D83" s="96"/>
      <c r="E83" s="97"/>
    </row>
    <row r="84" spans="1:5">
      <c r="A84" s="98"/>
      <c r="B84" s="87"/>
      <c r="C84" s="87"/>
      <c r="D84" s="87"/>
      <c r="E84" s="88"/>
    </row>
    <row r="85" spans="1:5">
      <c r="A85" s="95"/>
      <c r="B85" s="96"/>
      <c r="C85" s="96"/>
      <c r="D85" s="96"/>
      <c r="E85" s="97"/>
    </row>
    <row r="86" spans="1:5">
      <c r="A86" s="98"/>
      <c r="B86" s="87"/>
      <c r="C86" s="87"/>
      <c r="D86" s="87"/>
      <c r="E86" s="88"/>
    </row>
    <row r="87" spans="1:5">
      <c r="A87" s="95"/>
      <c r="B87" s="96"/>
      <c r="C87" s="96"/>
      <c r="D87" s="96"/>
      <c r="E87" s="97"/>
    </row>
    <row r="88" spans="1:5">
      <c r="A88" s="98"/>
      <c r="B88" s="87"/>
      <c r="C88" s="87"/>
      <c r="D88" s="87"/>
      <c r="E88" s="88"/>
    </row>
    <row r="89" spans="1:5">
      <c r="A89" s="95"/>
      <c r="B89" s="96"/>
      <c r="C89" s="96"/>
      <c r="D89" s="96"/>
      <c r="E89" s="97"/>
    </row>
    <row r="90" spans="1:5">
      <c r="A90" s="98"/>
      <c r="B90" s="87"/>
      <c r="C90" s="87"/>
      <c r="D90" s="87"/>
      <c r="E90" s="88"/>
    </row>
    <row r="91" spans="1:5">
      <c r="A91" s="95"/>
      <c r="B91" s="96"/>
      <c r="C91" s="96"/>
      <c r="D91" s="96"/>
      <c r="E91" s="97"/>
    </row>
    <row r="92" spans="1:5">
      <c r="A92" s="98"/>
      <c r="B92" s="87"/>
      <c r="C92" s="87"/>
      <c r="D92" s="87"/>
      <c r="E92" s="88"/>
    </row>
    <row r="93" spans="1:5">
      <c r="A93" s="95"/>
      <c r="B93" s="96"/>
      <c r="C93" s="96"/>
      <c r="D93" s="96"/>
      <c r="E93" s="97"/>
    </row>
    <row r="94" spans="1:5">
      <c r="A94" s="98"/>
      <c r="B94" s="87"/>
      <c r="C94" s="87"/>
      <c r="D94" s="87"/>
      <c r="E94" s="88"/>
    </row>
    <row r="95" spans="1:5">
      <c r="A95" s="95"/>
      <c r="B95" s="96"/>
      <c r="C95" s="96"/>
      <c r="D95" s="96"/>
      <c r="E95" s="97"/>
    </row>
    <row r="96" spans="1:5">
      <c r="A96" s="98"/>
      <c r="B96" s="87"/>
      <c r="C96" s="87"/>
      <c r="D96" s="87"/>
      <c r="E96" s="88"/>
    </row>
    <row r="97" spans="1:5">
      <c r="A97" s="95"/>
      <c r="B97" s="96"/>
      <c r="C97" s="96"/>
      <c r="D97" s="96"/>
      <c r="E97" s="97"/>
    </row>
    <row r="98" spans="1:5">
      <c r="A98" s="98"/>
      <c r="B98" s="87"/>
      <c r="C98" s="87"/>
      <c r="D98" s="87"/>
      <c r="E98" s="88"/>
    </row>
    <row r="99" spans="1:5">
      <c r="A99" s="95"/>
      <c r="B99" s="96"/>
      <c r="C99" s="96"/>
      <c r="D99" s="96"/>
      <c r="E99" s="97"/>
    </row>
    <row r="100" spans="1:5">
      <c r="A100" s="98"/>
      <c r="B100" s="87"/>
      <c r="C100" s="87"/>
      <c r="D100" s="87"/>
      <c r="E100" s="8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dataType Dropdown Items</vt:lpstr>
      <vt:lpstr>dataType Data Pattern List</vt:lpstr>
      <vt:lpstr>FK Types</vt:lpstr>
      <vt:lpstr>Format Change History</vt:lpstr>
      <vt:lpstr>General Settings</vt:lpstr>
      <vt:lpstr>dataType Definition</vt:lpstr>
      <vt:lpstr>Enum Definition</vt:lpstr>
      <vt:lpstr>DB Item Definition</vt:lpstr>
      <vt:lpstr>DB Common Item Definition</vt:lpstr>
      <vt:lpstr>Table List</vt:lpstr>
      <vt:lpstr>general</vt:lpstr>
      <vt:lpstr>'DB Item Definition'!Print_Area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田中庸介</cp:lastModifiedBy>
  <dcterms:created xsi:type="dcterms:W3CDTF">2006-09-16T00:00:00Z</dcterms:created>
  <dcterms:modified xsi:type="dcterms:W3CDTF">2026-10-28T19:19:03Z</dcterms:modified>
</cp:coreProperties>
</file>