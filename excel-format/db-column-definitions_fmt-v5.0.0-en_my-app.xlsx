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1700" tabRatio="853" firstSheet="0" activeTab="8" autoFilterDateGrouping="1"/>
  </bookViews>
  <sheets>
    <sheet xmlns:r="http://schemas.openxmlformats.org/officeDocument/2006/relationships" name="dataType Dropdown Items" sheetId="1" state="hidden" r:id="rId1"/>
    <sheet xmlns:r="http://schemas.openxmlformats.org/officeDocument/2006/relationships" name="dataType Data Pattern List" sheetId="2" state="hidden" r:id="rId2"/>
    <sheet xmlns:r="http://schemas.openxmlformats.org/officeDocument/2006/relationships" name="FK Types" sheetId="3" state="hidden" r:id="rId3"/>
    <sheet xmlns:r="http://schemas.openxmlformats.org/officeDocument/2006/relationships" name="Format Change History" sheetId="4" state="visible" r:id="rId4"/>
    <sheet xmlns:r="http://schemas.openxmlformats.org/officeDocument/2006/relationships" name="General Settings" sheetId="5" state="visible" r:id="rId5"/>
    <sheet xmlns:r="http://schemas.openxmlformats.org/officeDocument/2006/relationships" name="dataType Definition" sheetId="6" state="visible" r:id="rId6"/>
    <sheet xmlns:r="http://schemas.openxmlformats.org/officeDocument/2006/relationships" name="Enum Definition" sheetId="7" state="visible" r:id="rId7"/>
    <sheet xmlns:r="http://schemas.openxmlformats.org/officeDocument/2006/relationships" name="DB Item Definition" sheetId="8" state="visible" r:id="rId8"/>
    <sheet xmlns:r="http://schemas.openxmlformats.org/officeDocument/2006/relationships" name="DB Common Item Definition" sheetId="9" state="visible" r:id="rId9"/>
    <sheet xmlns:r="http://schemas.openxmlformats.org/officeDocument/2006/relationships" name="Table List" sheetId="10" state="visible" r:id="rId10"/>
  </sheets>
  <externalReferences>
    <externalReference xmlns:r="http://schemas.openxmlformats.org/officeDocument/2006/relationships" r:id="rId11"/>
  </externalReferences>
  <definedNames>
    <definedName name="general">'dataType Dropdown Items'!$A$3:$A$18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  <definedName name="_xlnm.Print_Area" localSheetId="7">'DB Item Definition'!$A$1:$Z$5</definedName>
  </definedNames>
  <calcPr calcId="191029" fullCalcOnLoad="1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charset val="128"/>
      <family val="2"/>
      <color theme="1"/>
      <sz val="11"/>
      <scheme val="minor"/>
    </font>
    <font>
      <name val="Calibri"/>
      <charset val="128"/>
      <family val="2"/>
      <color theme="1"/>
      <sz val="11"/>
      <scheme val="minor"/>
    </font>
    <font>
      <name val="Calibri"/>
      <charset val="128"/>
      <family val="3"/>
      <b val="1"/>
      <color theme="1"/>
      <sz val="11"/>
      <u val="single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28"/>
      <family val="3"/>
      <sz val="11"/>
      <scheme val="minor"/>
    </font>
    <font>
      <name val="Calibri"/>
      <charset val="128"/>
      <family val="3"/>
      <b val="1"/>
      <color theme="1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Inherit"/>
      <family val="2"/>
      <color rgb="FF212121"/>
      <sz val="36"/>
    </font>
    <font>
      <name val="Verdana"/>
      <family val="2"/>
      <color rgb="FF333333"/>
      <sz val="12"/>
    </font>
    <font>
      <name val="Calibri"/>
      <charset val="128"/>
      <family val="2"/>
      <color rgb="FF000000"/>
      <sz val="11"/>
      <scheme val="minor"/>
    </font>
    <font>
      <name val="Calibri"/>
      <family val="2"/>
      <sz val="11"/>
      <scheme val="minor"/>
    </font>
    <font>
      <name val="Calibri"/>
      <charset val="128"/>
      <family val="2"/>
      <sz val="11"/>
      <scheme val="minor"/>
    </font>
    <font>
      <name val="Calibri"/>
      <family val="2"/>
      <color rgb="FF000000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8" fillId="0" borderId="0"/>
    <xf numFmtId="0" fontId="2" fillId="0" borderId="0" applyAlignment="1">
      <alignment vertical="center"/>
    </xf>
  </cellStyleXfs>
  <cellXfs count="132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 wrapText="1"/>
    </xf>
    <xf numFmtId="49" fontId="0" fillId="0" borderId="0" applyAlignment="1" applyProtection="1" pivotButton="0" quotePrefix="0" xfId="0">
      <alignment vertical="center"/>
      <protection locked="0" hidden="0"/>
    </xf>
    <xf numFmtId="49" fontId="3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horizontal="center" vertical="center"/>
      <protection locked="0" hidden="0"/>
    </xf>
    <xf numFmtId="49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49" fontId="0" fillId="0" borderId="2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5" borderId="0" applyAlignment="1" pivotButton="0" quotePrefix="0" xfId="0">
      <alignment horizontal="center"/>
    </xf>
    <xf numFmtId="49" fontId="0" fillId="5" borderId="0" applyAlignment="1" pivotButton="0" quotePrefix="0" xfId="0">
      <alignment horizontal="center"/>
    </xf>
    <xf numFmtId="49" fontId="0" fillId="7" borderId="0" applyAlignment="1" pivotButton="0" quotePrefix="0" xfId="0">
      <alignment horizontal="center"/>
    </xf>
    <xf numFmtId="49" fontId="0" fillId="0" borderId="0" applyAlignment="1" pivotButton="0" quotePrefix="0" xfId="0">
      <alignment vertical="center" wrapText="1"/>
    </xf>
    <xf numFmtId="49" fontId="0" fillId="4" borderId="0" pivotButton="0" quotePrefix="0" xfId="0"/>
    <xf numFmtId="49" fontId="0" fillId="0" borderId="0" applyAlignment="1" applyProtection="1" pivotButton="0" quotePrefix="0" xfId="0">
      <alignment horizontal="left" vertical="center" wrapText="1"/>
      <protection locked="0" hidden="0"/>
    </xf>
    <xf numFmtId="0" fontId="0" fillId="7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  <xf numFmtId="49" fontId="3" fillId="0" borderId="0" applyAlignment="1" applyProtection="1" pivotButton="0" quotePrefix="0" xfId="0">
      <alignment vertical="center"/>
      <protection locked="0" hidden="0"/>
    </xf>
    <xf numFmtId="49" fontId="0" fillId="11" borderId="0" applyAlignment="1" pivotButton="0" quotePrefix="0" xfId="0">
      <alignment horizontal="center" vertical="center" wrapText="1"/>
    </xf>
    <xf numFmtId="49" fontId="0" fillId="10" borderId="0" applyAlignment="1" pivotButton="0" quotePrefix="0" xfId="0">
      <alignment horizontal="center"/>
    </xf>
    <xf numFmtId="0" fontId="0" fillId="0" borderId="4" pivotButton="0" quotePrefix="0" xfId="0"/>
    <xf numFmtId="49" fontId="0" fillId="0" borderId="0" applyAlignment="1" pivotButton="0" quotePrefix="0" xfId="0">
      <alignment horizontal="left" vertical="center" wrapText="1"/>
    </xf>
    <xf numFmtId="49" fontId="7" fillId="0" borderId="0" applyProtection="1" pivotButton="0" quotePrefix="0" xfId="0">
      <protection locked="0" hidden="0"/>
    </xf>
    <xf numFmtId="49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49" fontId="8" fillId="0" borderId="0" applyAlignment="1" applyProtection="1" pivotButton="0" quotePrefix="0" xfId="0">
      <alignment horizontal="center"/>
      <protection locked="0" hidden="0"/>
    </xf>
    <xf numFmtId="0" fontId="8" fillId="0" borderId="0" pivotButton="0" quotePrefix="0" xfId="0"/>
    <xf numFmtId="49" fontId="8" fillId="0" borderId="0" applyAlignment="1" applyProtection="1" pivotButton="0" quotePrefix="0" xfId="0">
      <alignment horizontal="center" vertical="center"/>
      <protection locked="0" hidden="0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49" fontId="8" fillId="0" borderId="0" applyAlignment="1" applyProtection="1" pivotButton="0" quotePrefix="0" xfId="0">
      <alignment vertical="center"/>
      <protection locked="0" hidden="0"/>
    </xf>
    <xf numFmtId="0" fontId="8" fillId="0" borderId="0" applyAlignment="1" applyProtection="1" pivotButton="0" quotePrefix="0" xfId="0">
      <alignment horizontal="center" vertical="center"/>
      <protection locked="0" hidden="0"/>
    </xf>
    <xf numFmtId="49" fontId="6" fillId="0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wrapText="1"/>
    </xf>
    <xf numFmtId="0" fontId="0" fillId="0" borderId="5" pivotButton="0" quotePrefix="0" xfId="0"/>
    <xf numFmtId="49" fontId="0" fillId="0" borderId="3" applyAlignment="1" pivotButton="0" quotePrefix="0" xfId="0">
      <alignment horizontal="center" vertical="center"/>
    </xf>
    <xf numFmtId="49" fontId="8" fillId="0" borderId="0" applyAlignment="1" applyProtection="1" pivotButton="0" quotePrefix="0" xfId="0">
      <alignment horizontal="left" vertical="center" wrapText="1"/>
      <protection locked="0" hidden="0"/>
    </xf>
    <xf numFmtId="49" fontId="0" fillId="13" borderId="0" applyAlignment="1" pivotButton="0" quotePrefix="0" xfId="0">
      <alignment horizontal="center"/>
    </xf>
    <xf numFmtId="49" fontId="0" fillId="12" borderId="0" applyAlignment="1" pivotButton="0" quotePrefix="0" xfId="0">
      <alignment horizontal="center" vertical="center" wrapText="1"/>
    </xf>
    <xf numFmtId="49" fontId="6" fillId="0" borderId="0" applyAlignment="1" applyProtection="1" pivotButton="0" quotePrefix="0" xfId="0">
      <alignment vertical="center"/>
      <protection locked="0" hidden="0"/>
    </xf>
    <xf numFmtId="0" fontId="12" fillId="0" borderId="0" applyAlignment="1" pivotButton="0" quotePrefix="0" xfId="0">
      <alignment vertical="center"/>
    </xf>
    <xf numFmtId="49" fontId="0" fillId="0" borderId="0" applyAlignment="1" applyProtection="1" pivotButton="0" quotePrefix="0" xfId="0">
      <alignment horizontal="left" vertical="center"/>
      <protection locked="0" hidden="0"/>
    </xf>
    <xf numFmtId="49" fontId="1" fillId="0" borderId="0" applyAlignment="1" applyProtection="1" pivotButton="0" quotePrefix="0" xfId="0">
      <alignment horizontal="left" vertical="center"/>
      <protection locked="0" hidden="0"/>
    </xf>
    <xf numFmtId="49" fontId="0" fillId="0" borderId="6" applyAlignment="1" pivotButton="0" quotePrefix="0" xfId="0">
      <alignment horizontal="left" vertical="center"/>
    </xf>
    <xf numFmtId="49" fontId="0" fillId="2" borderId="0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49" fontId="14" fillId="0" borderId="0" applyAlignment="1" applyProtection="1" pivotButton="0" quotePrefix="0" xfId="0">
      <alignment horizontal="left" vertical="center" wrapText="1"/>
      <protection locked="0" hidden="0"/>
    </xf>
    <xf numFmtId="49" fontId="6" fillId="0" borderId="0" applyAlignment="1" applyProtection="1" pivotButton="0" quotePrefix="0" xfId="0">
      <alignment horizontal="left" vertical="center" wrapText="1"/>
      <protection locked="0" hidden="0"/>
    </xf>
    <xf numFmtId="49" fontId="13" fillId="0" borderId="0" applyAlignment="1" applyProtection="1" pivotButton="0" quotePrefix="0" xfId="0">
      <alignment vertical="center"/>
      <protection locked="0" hidden="0"/>
    </xf>
    <xf numFmtId="49" fontId="14" fillId="0" borderId="0" applyAlignment="1" applyProtection="1" pivotButton="0" quotePrefix="0" xfId="0">
      <alignment vertical="center"/>
      <protection locked="0" hidden="0"/>
    </xf>
    <xf numFmtId="49" fontId="1" fillId="0" borderId="0" applyAlignment="1" applyProtection="1" pivotButton="0" quotePrefix="0" xfId="0">
      <alignment vertical="center"/>
      <protection locked="0" hidden="0"/>
    </xf>
    <xf numFmtId="0" fontId="11" fillId="0" borderId="0" applyAlignment="1" pivotButton="0" quotePrefix="0" xfId="0">
      <alignment vertical="center"/>
    </xf>
    <xf numFmtId="49" fontId="14" fillId="0" borderId="0" applyAlignment="1" applyProtection="1" pivotButton="0" quotePrefix="0" xfId="0">
      <alignment horizontal="center" vertical="center"/>
      <protection locked="0" hidden="0"/>
    </xf>
    <xf numFmtId="49" fontId="14" fillId="0" borderId="0" applyAlignment="1" applyProtection="1" pivotButton="0" quotePrefix="0" xfId="0">
      <alignment horizontal="left" vertical="center"/>
      <protection locked="0" hidden="0"/>
    </xf>
    <xf numFmtId="0" fontId="0" fillId="9" borderId="0" pivotButton="0" quotePrefix="0" xfId="0"/>
    <xf numFmtId="0" fontId="0" fillId="9" borderId="0" applyAlignment="1" pivotButton="0" quotePrefix="0" xfId="0">
      <alignment wrapText="1"/>
    </xf>
    <xf numFmtId="0" fontId="0" fillId="9" borderId="0" applyAlignment="1" pivotButton="0" quotePrefix="0" xfId="0">
      <alignment horizontal="center" vertical="center" wrapText="1"/>
    </xf>
    <xf numFmtId="49" fontId="5" fillId="9" borderId="4" applyAlignment="1" pivotButton="0" quotePrefix="0" xfId="0">
      <alignment wrapText="1"/>
    </xf>
    <xf numFmtId="49" fontId="9" fillId="9" borderId="4" applyAlignment="1" pivotButton="0" quotePrefix="0" xfId="0">
      <alignment wrapText="1"/>
    </xf>
    <xf numFmtId="0" fontId="0" fillId="9" borderId="0" applyAlignment="1" applyProtection="1" pivotButton="0" quotePrefix="0" xfId="0">
      <alignment horizontal="center" vertical="center" wrapText="1"/>
      <protection locked="0" hidden="0"/>
    </xf>
    <xf numFmtId="49" fontId="8" fillId="0" borderId="0" applyAlignment="1" applyProtection="1" pivotButton="0" quotePrefix="0" xfId="0">
      <alignment horizontal="center" vertical="center" wrapText="1"/>
      <protection locked="0" hidden="0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49" fontId="8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wrapText="1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1">
      <alignment vertical="center"/>
    </xf>
    <xf numFmtId="49" fontId="1" fillId="14" borderId="5" applyAlignment="1" pivotButton="0" quotePrefix="0" xfId="0">
      <alignment horizontal="left" vertical="center" wrapText="1"/>
    </xf>
    <xf numFmtId="49" fontId="0" fillId="14" borderId="3" applyAlignment="1" pivotButton="0" quotePrefix="0" xfId="0">
      <alignment vertical="center"/>
    </xf>
    <xf numFmtId="49" fontId="1" fillId="14" borderId="3" applyAlignment="1" pivotButton="0" quotePrefix="0" xfId="0">
      <alignment horizontal="left" vertical="center"/>
    </xf>
    <xf numFmtId="49" fontId="0" fillId="14" borderId="3" applyAlignment="1" pivotButton="0" quotePrefix="0" xfId="0">
      <alignment horizontal="center"/>
    </xf>
    <xf numFmtId="49" fontId="6" fillId="14" borderId="3" applyAlignment="1" pivotButton="0" quotePrefix="0" xfId="0">
      <alignment horizontal="center"/>
    </xf>
    <xf numFmtId="49" fontId="1" fillId="14" borderId="3" applyAlignment="1" pivotButton="0" quotePrefix="0" xfId="0">
      <alignment horizontal="center"/>
    </xf>
    <xf numFmtId="49" fontId="1" fillId="14" borderId="3" applyAlignment="1" pivotButton="0" quotePrefix="0" xfId="0">
      <alignment horizontal="center" vertical="center"/>
    </xf>
    <xf numFmtId="49" fontId="1" fillId="14" borderId="3" applyAlignment="1" pivotButton="0" quotePrefix="0" xfId="0">
      <alignment horizontal="center" vertical="center" wrapText="1"/>
    </xf>
    <xf numFmtId="49" fontId="0" fillId="14" borderId="3" applyAlignment="1" pivotButton="0" quotePrefix="0" xfId="0">
      <alignment horizontal="center" vertical="center"/>
    </xf>
    <xf numFmtId="49" fontId="1" fillId="0" borderId="5" applyAlignment="1" pivotButton="0" quotePrefix="0" xfId="0">
      <alignment horizontal="left" vertical="center" wrapText="1"/>
    </xf>
    <xf numFmtId="49" fontId="0" fillId="0" borderId="3" applyAlignment="1" pivotButton="0" quotePrefix="0" xfId="0">
      <alignment vertical="center"/>
    </xf>
    <xf numFmtId="49" fontId="1" fillId="0" borderId="3" applyAlignment="1" pivotButton="0" quotePrefix="0" xfId="0">
      <alignment horizontal="left" vertical="center"/>
    </xf>
    <xf numFmtId="49" fontId="0" fillId="0" borderId="3" applyAlignment="1" pivotButton="0" quotePrefix="0" xfId="0">
      <alignment horizontal="center"/>
    </xf>
    <xf numFmtId="49" fontId="1" fillId="0" borderId="3" applyAlignment="1" pivotButton="0" quotePrefix="0" xfId="0">
      <alignment horizontal="center"/>
    </xf>
    <xf numFmtId="49" fontId="0" fillId="14" borderId="3" pivotButton="0" quotePrefix="0" xfId="0"/>
    <xf numFmtId="49" fontId="0" fillId="14" borderId="3" applyAlignment="1" pivotButton="0" quotePrefix="0" xfId="0">
      <alignment horizontal="left" vertical="center"/>
    </xf>
    <xf numFmtId="49" fontId="6" fillId="14" borderId="3" applyAlignment="1" pivotButton="0" quotePrefix="0" xfId="0">
      <alignment horizontal="center" vertical="center"/>
    </xf>
    <xf numFmtId="49" fontId="0" fillId="0" borderId="3" pivotButton="0" quotePrefix="0" xfId="0"/>
    <xf numFmtId="49" fontId="6" fillId="0" borderId="3" applyAlignment="1" pivotButton="0" quotePrefix="0" xfId="0">
      <alignment horizontal="left" vertical="center"/>
    </xf>
    <xf numFmtId="49" fontId="6" fillId="0" borderId="3" applyAlignment="1" pivotButton="0" quotePrefix="0" xfId="0">
      <alignment horizontal="center" vertical="center" wrapText="1"/>
    </xf>
    <xf numFmtId="49" fontId="6" fillId="0" borderId="3" applyAlignment="1" pivotButton="0" quotePrefix="0" xfId="0">
      <alignment horizontal="center" vertical="center"/>
    </xf>
    <xf numFmtId="49" fontId="6" fillId="14" borderId="3" applyAlignment="1" pivotButton="0" quotePrefix="0" xfId="0">
      <alignment horizontal="left" vertical="center"/>
    </xf>
    <xf numFmtId="49" fontId="8" fillId="9" borderId="0" applyAlignment="1" applyProtection="1" pivotButton="0" quotePrefix="0" xfId="0">
      <alignment horizontal="center" vertical="center"/>
      <protection locked="0" hidden="0"/>
    </xf>
    <xf numFmtId="49" fontId="1" fillId="0" borderId="3" applyAlignment="1" pivotButton="0" quotePrefix="0" xfId="0">
      <alignment horizontal="left" wrapText="1"/>
    </xf>
    <xf numFmtId="49" fontId="1" fillId="0" borderId="3" applyAlignment="1" pivotButton="0" quotePrefix="0" xfId="0">
      <alignment wrapText="1"/>
    </xf>
    <xf numFmtId="49" fontId="0" fillId="0" borderId="3" applyAlignment="1" pivotButton="0" quotePrefix="0" xfId="0">
      <alignment horizontal="left" vertical="center"/>
    </xf>
    <xf numFmtId="49" fontId="6" fillId="0" borderId="3" applyAlignment="1" pivotButton="0" quotePrefix="0" xfId="0">
      <alignment wrapText="1"/>
    </xf>
    <xf numFmtId="49" fontId="0" fillId="0" borderId="3" applyAlignment="1" pivotButton="0" quotePrefix="0" xfId="0">
      <alignment wrapText="1"/>
    </xf>
    <xf numFmtId="49" fontId="0" fillId="9" borderId="0" applyAlignment="1" applyProtection="1" pivotButton="0" quotePrefix="0" xfId="0">
      <alignment horizontal="center" vertical="center" wrapText="1"/>
      <protection locked="0" hidden="0"/>
    </xf>
    <xf numFmtId="0" fontId="0" fillId="14" borderId="3" pivotButton="0" quotePrefix="0" xfId="0"/>
    <xf numFmtId="0" fontId="0" fillId="14" borderId="8" pivotButton="0" quotePrefix="0" xfId="0"/>
    <xf numFmtId="0" fontId="5" fillId="9" borderId="9" pivotButton="0" quotePrefix="0" xfId="0"/>
    <xf numFmtId="0" fontId="5" fillId="15" borderId="7" pivotButton="0" quotePrefix="0" xfId="0"/>
    <xf numFmtId="0" fontId="5" fillId="15" borderId="10" pivotButton="0" quotePrefix="0" xfId="0"/>
    <xf numFmtId="0" fontId="0" fillId="14" borderId="9" pivotButton="0" quotePrefix="0" xfId="0"/>
    <xf numFmtId="0" fontId="0" fillId="14" borderId="7" pivotButton="0" quotePrefix="0" xfId="0"/>
    <xf numFmtId="0" fontId="0" fillId="14" borderId="10" pivotButton="0" quotePrefix="0" xfId="0"/>
    <xf numFmtId="0" fontId="0" fillId="0" borderId="9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14" borderId="5" pivotButton="0" quotePrefix="0" xfId="0"/>
    <xf numFmtId="49" fontId="0" fillId="0" borderId="0" applyProtection="1" pivotButton="0" quotePrefix="0" xfId="0">
      <protection locked="0" hidden="0"/>
    </xf>
    <xf numFmtId="0" fontId="0" fillId="0" borderId="1" pivotButton="0" quotePrefix="1" xfId="0"/>
    <xf numFmtId="0" fontId="4" fillId="16" borderId="1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5" fillId="0" borderId="13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49" fontId="0" fillId="8" borderId="0" applyAlignment="1" pivotButton="0" quotePrefix="0" xfId="0">
      <alignment horizontal="center" vertical="center"/>
    </xf>
    <xf numFmtId="0" fontId="0" fillId="0" borderId="0" pivotButton="0" quotePrefix="0" xfId="0"/>
    <xf numFmtId="49" fontId="0" fillId="6" borderId="0" applyAlignment="1" pivotButton="0" quotePrefix="0" xfId="0">
      <alignment horizontal="center" vertical="center"/>
    </xf>
    <xf numFmtId="49" fontId="0" fillId="0" borderId="0" pivotButton="0" quotePrefix="0" xfId="0"/>
  </cellXfs>
  <cellStyles count="2">
    <cellStyle name="Normal" xfId="0" builtinId="0"/>
    <cellStyle name="標準 2" xfId="1"/>
  </cellStyles>
  <dxfs count="125">
    <dxf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"/>
        </top>
        <bottom style="thin">
          <color theme="6" tint="0.3999755851924192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8"/>
        </patternFill>
      </fill>
      <alignment horizontal="center" vertical="bottom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bottom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"/>
          <bgColor theme="4" tint="0.7999816888943144"/>
        </patternFill>
      </fill>
      <alignment horizontal="left" vertical="center" wrapText="1"/>
      <border>
        <left style="thin">
          <color theme="4" tint="0.3999755851924192"/>
        </left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I5" authorId="0" shapeId="0">
      <text>
        <t>short、int、Long、float, double, BigInteger、BigDecimalの場合
※beanValidationの仕様としては、byte型も上記2つのannotationで使用可能だが、codegeneratorとしては除外している。必要なら追加</t>
      </text>
    </comment>
    <comment ref="L7" authorId="0" shapeId="0">
      <text>
        <t>BigDecimalの場合のみ記載可。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dataType&#12503;&#12523;&#12480;&#12454;&#12531;&#38917;&#30446;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able1" displayName="Table1" ref="A1:B15" headerRowCount="1" totalsRowShown="0">
  <autoFilter ref="A1:B15"/>
  <tableColumns count="2">
    <tableColumn id="1" name="Data Pattern"/>
    <tableColumn id="2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47" displayName="Table47" ref="A1:C9" headerRowCount="1" totalsRowShown="0">
  <autoFilter ref="A1:C9"/>
  <tableColumns count="3">
    <tableColumn id="1" name="FK Type (Japanese)"/>
    <tableColumn id="2" name="FK Type"/>
    <tableColumn id="3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5" displayName="Table5" ref="A3:D4" headerRowCount="1" totalsRowShown="0" headerRowDxfId="86" dataDxfId="85">
  <autoFilter ref="A3:D4"/>
  <tableColumns count="4">
    <tableColumn id="1" name="Date" dataDxfId="84"/>
    <tableColumn id="2" name="Version" dataDxfId="83"/>
    <tableColumn id="3" name="Changes" dataDxfId="82"/>
    <tableColumn id="4" name="Changed By" dataDxfId="8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50" displayName="Table50" ref="A5:H28" headerRowCount="1" totalsRowShown="0" dataDxfId="80">
  <autoFilter ref="A5:H28"/>
  <tableColumns count="8">
    <tableColumn id="1" name="#" dataDxfId="79">
      <calculatedColumnFormula>ROW()-5</calculatedColumnFormula>
    </tableColumn>
    <tableColumn id="8" name="Category" dataDxfId="78"/>
    <tableColumn id="2" name="Category Name" dataDxfId="77"/>
    <tableColumn id="3" name="Key" dataDxfId="76"/>
    <tableColumn id="4" name="Description" dataDxfId="75"/>
    <tableColumn id="9" name="Required" dataDxfId="74"/>
    <tableColumn id="5" name="Value" dataDxfId="73"/>
    <tableColumn id="6" name="Notes" dataDxfId="7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2" displayName="Table2" ref="A7:S45" tableType="xml" headerRowCount="1" totalsRowShown="0" headerRowDxfId="71" dataDxfId="70">
  <tableColumns count="19">
    <tableColumn id="1" uniqueName="name" name="DataType Name" dataDxfId="69">
      <xmlColumnPr mapId="191" xpath="/root/datatype/@name" xmlDataType="string"/>
    </tableColumn>
    <tableColumn id="3" uniqueName="kata" name="Type" dataDxfId="68">
      <xmlColumnPr mapId="191" xpath="/root/datatype/kata" xmlDataType="string"/>
    </tableColumn>
    <tableColumn id="4" uniqueName="minLength" name="Min Length" dataDxfId="67">
      <xmlColumnPr mapId="191" xpath="/root/datatype/minLength" xmlDataType="string"/>
    </tableColumn>
    <tableColumn id="11" uniqueName="maxLength" name="Max Length" dataDxfId="66">
      <xmlColumnPr mapId="191" xpath="/root/datatype/maxLength" xmlDataType="string"/>
    </tableColumn>
    <tableColumn id="15" uniqueName="numScale" name="Data Pattern (display name)" dataDxfId="65"/>
    <tableColumn id="24" uniqueName="stringDataPtn" name="Data Pattern" dataDxfId="64">
      <xmlColumnPr mapId="191" xpath="/root/datatype/stringDataPtn" xmlDataType="string"/>
    </tableColumn>
    <tableColumn id="18" uniqueName="18" name="Exclude Prohibited Chars Check" dataDxfId="63"/>
    <tableColumn id="25" uniqueName="stringRegEx" name="Regex" dataDxfId="62">
      <xmlColumnPr mapId="191" xpath="/root/datatype/stringRegEx" xmlDataType="string"/>
    </tableColumn>
    <tableColumn id="9" uniqueName="numMinVal" name="Min Value" dataDxfId="61">
      <xmlColumnPr mapId="191" xpath="/root/datatype/numMinVal" xmlDataType="string"/>
    </tableColumn>
    <tableColumn id="10" uniqueName="numMaxVal" name="Max Value" dataDxfId="60">
      <xmlColumnPr mapId="191" xpath="/root/datatype/numMaxVal" xmlDataType="string"/>
    </tableColumn>
    <tableColumn id="12" uniqueName="numDigitInteger" name="Integer Digits" dataDxfId="59">
      <xmlColumnPr mapId="191" xpath="/root/datatype/numDigitInteger" xmlDataType="string"/>
    </tableColumn>
    <tableColumn id="13" uniqueName="numDigitFraction" name="Decimal Digits" dataDxfId="58">
      <xmlColumnPr mapId="191" xpath="/root/datatype/numDigitFraction" xmlDataType="string"/>
    </tableColumn>
    <tableColumn id="5" uniqueName="enumCodeLength" name="Code Length" dataDxfId="57">
      <xmlColumnPr mapId="191" xpath="/root/datatype/enumCodeLength" xmlDataType="string"/>
    </tableColumn>
    <tableColumn id="14" uniqueName="notNeedsTimezone" name="No Timezone" dataDxfId="56">
      <xmlColumnPr mapId="191" xpath="/root/datatype/notNeedsTimezone" xmlDataType="string"/>
    </tableColumn>
    <tableColumn id="16" uniqueName="javadoc" name="Notes" dataDxfId="55">
      <xmlColumnPr mapId="191" xpath="/root/datatype/javadoc" xmlDataType="string"/>
    </tableColumn>
    <tableColumn id="2" uniqueName="2" name="Pattern Desc (Default Lang)" dataDxfId="54"/>
    <tableColumn id="19" uniqueName="19" name="Pattern Desc (Additional Lang 1)" dataDxfId="53"/>
    <tableColumn id="20" uniqueName="20" name="Pattern Desc (Additional Lang 2)" dataDxfId="52"/>
    <tableColumn id="21" uniqueName="21" name="Pattern Desc (Additional Lang 3)" dataDxfId="5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4" displayName="Table4" ref="A6:I33" tableType="xml" headerRowCount="1" totalsRowShown="0" headerRowDxfId="50" dataDxfId="49">
  <autoFilter ref="A6:I33"/>
  <tableColumns count="9">
    <tableColumn id="1" uniqueName="dataTypeName" name="DataType Name" dataDxfId="48">
      <xmlColumnPr mapId="132" xpath="/root/enum/dataTypeName" xmlDataType="string"/>
    </tableColumn>
    <tableColumn id="8" uniqueName="8" name="code" dataDxfId="47"/>
    <tableColumn id="5" uniqueName="varName" name="varName" dataDxfId="46">
      <xmlColumnPr mapId="132" xpath="/root/enum/varName" xmlDataType="string"/>
    </tableColumn>
    <tableColumn id="10" uniqueName="10" name="Java Only" dataDxfId="45"/>
    <tableColumn id="12" uniqueName="javadoc-value" name="Notes" dataDxfId="44">
      <xmlColumnPr mapId="132" xpath="/root/enum/javadoc-value" xmlDataType="string"/>
    </tableColumn>
    <tableColumn id="9" uniqueName="9" name="Display Name (Default Lang)" dataDxfId="43"/>
    <tableColumn id="4" uniqueName="dispNameAddLang1" name="Display Name (Additional Lang 1)" dataDxfId="42">
      <xmlColumnPr mapId="132" xpath="/root/enum/dispNameAddLang1" xmlDataType="string"/>
    </tableColumn>
    <tableColumn id="6" uniqueName="dispNameAddLang2" name="Display Name (Additional Lang 2)" dataDxfId="41">
      <xmlColumnPr mapId="132" xpath="/root/enum/dispNameAddLang2" xmlDataType="string"/>
    </tableColumn>
    <tableColumn id="7" uniqueName="dispNameAddLang3" name="Display Name (Additional Lang 3)" dataDxfId="40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5:AK90" tableType="xml" headerRowCount="1" totalsRowShown="0" headerRowDxfId="39" dataDxfId="38">
  <autoFilter ref="A5:AK90"/>
  <tableColumns count="37">
    <tableColumn id="1" uniqueName="table" name="Table Name" dataDxfId="37">
      <xmlColumnPr mapId="161" xpath="/root/column/table" xmlDataType="string"/>
    </tableColumn>
    <tableColumn id="2" uniqueName="name" name="Column Name" dataDxfId="36">
      <xmlColumnPr mapId="161" xpath="/root/column/@name" xmlDataType="string"/>
    </tableColumn>
    <tableColumn id="15" uniqueName="dataType" name="dataType" dataDxfId="35">
      <xmlColumnPr mapId="161" xpath="/root/column/dataType" xmlDataType="string"/>
    </tableColumn>
    <tableColumn id="16" uniqueName="16" name="dataType Check" dataDxfId="34">
      <calculatedColumnFormula>IF(Table7[[#This Row],[dataType]]="","",IF(NOT(ISNA(VLOOKUP(Table7[[#This Row],[dataType]], 'dataType Definition'!A:A, 1,FALSE))), "○", "×"))</calculatedColumnFormula>
    </tableColumn>
    <tableColumn id="28" uniqueName="28" name="Java Only" dataDxfId="33"/>
    <tableColumn id="6" uniqueName="pk" name="Surrogate key " dataDxfId="32">
      <xmlColumnPr mapId="161" xpath="/root/column/pk" xmlDataType="string"/>
    </tableColumn>
    <tableColumn id="29" uniqueName="29" name="natural key (unique key)" dataDxfId="31"/>
    <tableColumn id="8" uniqueName="nullable" name="nullable" dataDxfId="30">
      <xmlColumnPr mapId="161" xpath="/root/column/nullable" xmlDataType="string"/>
    </tableColumn>
    <tableColumn id="10" uniqueName="autoIncrement" name="Auto Numbering" dataDxfId="29">
      <xmlColumnPr mapId="161" xpath="/root/column/autoIncrement" xmlDataType="string"/>
    </tableColumn>
    <tableColumn id="21" uniqueName="forcedIncrement" name="Force Numbering" dataDxfId="28">
      <xmlColumnPr mapId="161" xpath="/root/column/forcedIncrement" xmlDataType="string"/>
    </tableColumn>
    <tableColumn id="11" uniqueName="autoUpdate" name="Auto Update" dataDxfId="27">
      <xmlColumnPr mapId="161" xpath="/root/column/autoUpdate" xmlDataType="string"/>
    </tableColumn>
    <tableColumn id="20" uniqueName="forcedUpdate" name="Force Update" dataDxfId="26">
      <xmlColumnPr mapId="161" xpath="/root/column/forcedUpdate" xmlDataType="string"/>
    </tableColumn>
    <tableColumn id="12" uniqueName="valueChangeMethod" name="Group Identifier" dataDxfId="25">
      <xmlColumnPr mapId="161" xpath="/root/column/valueChangeMethod" xmlDataType="string"/>
    </tableColumn>
    <tableColumn id="18" uniqueName="updatedValue" name="Spring Audit" dataDxfId="24">
      <xmlColumnPr mapId="161" xpath="/root/column/updatedValue" xmlDataType="string"/>
    </tableColumn>
    <tableColumn id="19" uniqueName="optLock" name="Relation: Type" dataDxfId="23">
      <xmlColumnPr mapId="161" xpath="/root/column/optLock" xmlDataType="string"/>
    </tableColumn>
    <tableColumn id="22" uniqueName="22" name="Relation: Direction" dataDxfId="22"/>
    <tableColumn id="26" uniqueName="26" name="Relation: Source Var Name" dataDxfId="21"/>
    <tableColumn id="30" uniqueName="30" name="Relation: Source Object Var Name" dataDxfId="1"/>
    <tableColumn id="23" uniqueName="23" name="Relation: Target Table" dataDxfId="20"/>
    <tableColumn id="24" uniqueName="24" name="Relation: Target Column" dataDxfId="19"/>
    <tableColumn id="27" uniqueName="27" name="Relation: Target Var Name" dataDxfId="18"/>
    <tableColumn id="25" uniqueName="25" name="Relation: Eager" dataDxfId="17"/>
    <tableColumn id="17" uniqueName="index1" name="index1" dataDxfId="16">
      <xmlColumnPr mapId="161" xpath="/root/column/index1" xmlDataType="string"/>
    </tableColumn>
    <tableColumn id="14" uniqueName="index2" name="index2" dataDxfId="15">
      <xmlColumnPr mapId="161" xpath="/root/column/index2" xmlDataType="string"/>
    </tableColumn>
    <tableColumn id="13" uniqueName="index3" name="index3" dataDxfId="14">
      <xmlColumnPr mapId="161" xpath="/root/column/index3" xmlDataType="string"/>
    </tableColumn>
    <tableColumn id="34" uniqueName="34" name="index4" dataDxfId="13"/>
    <tableColumn id="35" uniqueName="35" name="index5" dataDxfId="12"/>
    <tableColumn id="36" uniqueName="36" name="index6" dataDxfId="11"/>
    <tableColumn id="37" uniqueName="37" name="index7" dataDxfId="10"/>
    <tableColumn id="38" uniqueName="38" name="index8" dataDxfId="9"/>
    <tableColumn id="39" uniqueName="39" name="index9" dataDxfId="8"/>
    <tableColumn id="40" uniqueName="40" name="index10" dataDxfId="7"/>
    <tableColumn id="5" uniqueName="dispNameAddLang1" name="Notes" dataDxfId="6"/>
    <tableColumn id="9" uniqueName="9" name="Column Display Name (Default Lang)" dataDxfId="5"/>
    <tableColumn id="3" uniqueName="dispNameAddLang1" name="Column Display Name (Additional Lang 1)" dataDxfId="4">
      <xmlColumnPr mapId="161" xpath="/root/column/dispNameAddLang1" xmlDataType="string"/>
    </tableColumn>
    <tableColumn id="4" uniqueName="dispNameAddLang2" name="Column Display Name (Additional Lang 2)" dataDxfId="3">
      <xmlColumnPr mapId="161" xpath="/root/column/dispNameAddLang2" xmlDataType="string"/>
    </tableColumn>
    <tableColumn id="7" uniqueName="dispNameAddLang3" name="Column Display Name (Additional Lang 3)" dataDxfId="2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74" displayName="Table74" ref="A5:AK13" headerRowCount="1" totalsRowShown="0" headerRowDxfId="124" dataDxfId="123">
  <autoFilter ref="A5:AK13"/>
  <tableColumns count="37">
    <tableColumn id="1" name="Table Name" dataDxfId="122"/>
    <tableColumn id="2" name="Column Name" dataDxfId="121"/>
    <tableColumn id="15" name="dataType" dataDxfId="120"/>
    <tableColumn id="16" name="dataType Check" dataDxfId="119">
      <calculatedColumnFormula>IF(Table74[[#This Row],[dataType]]="","",IF(NOT(ISNA(VLOOKUP(Table74[[#This Row],[dataType]], 'dataType Definition'!A:A, 1,FALSE))), "○", "×"))</calculatedColumnFormula>
    </tableColumn>
    <tableColumn id="28" name="Java Only" dataDxfId="118"/>
    <tableColumn id="9" name="Surrogate key " dataDxfId="117"/>
    <tableColumn id="8" name="natural key (unique key)" dataDxfId="116"/>
    <tableColumn id="29" name="nullable" dataDxfId="115"/>
    <tableColumn id="10" name="Auto Numbering" dataDxfId="114"/>
    <tableColumn id="21" name="Force Numbering" dataDxfId="113"/>
    <tableColumn id="11" name="Auto Update" dataDxfId="112"/>
    <tableColumn id="20" name="Force Update" dataDxfId="111"/>
    <tableColumn id="12" name="Group Identifier" dataDxfId="110"/>
    <tableColumn id="18" name="Spring Audit" dataDxfId="109"/>
    <tableColumn id="19" name="Relation: Type" dataDxfId="108"/>
    <tableColumn id="22" name="Relation: Direction" dataDxfId="107"/>
    <tableColumn id="26" name="Relation: Source Var Name" dataDxfId="106"/>
    <tableColumn id="6" name="Relation: Source Object Var Name" dataDxfId="0"/>
    <tableColumn id="23" name="Relation: Target Table" dataDxfId="105"/>
    <tableColumn id="24" name="Relation: Target Column" dataDxfId="104"/>
    <tableColumn id="27" name="Relation: Target Var Name" dataDxfId="103"/>
    <tableColumn id="25" name="Relation: Eager" dataDxfId="102"/>
    <tableColumn id="17" name="index1" dataDxfId="101"/>
    <tableColumn id="14" name="index2" dataDxfId="100"/>
    <tableColumn id="13" name="index3" dataDxfId="99"/>
    <tableColumn id="33" name="index4" dataDxfId="98"/>
    <tableColumn id="34" name="index5" dataDxfId="97"/>
    <tableColumn id="35" name="index6" dataDxfId="96"/>
    <tableColumn id="36" name="index7" dataDxfId="95"/>
    <tableColumn id="37" name="index8" dataDxfId="94"/>
    <tableColumn id="38" name="index9" dataDxfId="93"/>
    <tableColumn id="39" name="index10" dataDxfId="92"/>
    <tableColumn id="5" name="Notes" dataDxfId="91"/>
    <tableColumn id="32" name="Column Display Name (Default Lang)" dataDxfId="90"/>
    <tableColumn id="3" name="Column Display Name (Additional Lang 1)" dataDxfId="89"/>
    <tableColumn id="4" name="Column Display Name (Additional Lang 2)" dataDxfId="88"/>
    <tableColumn id="7" name="Column Display Name (Additional Lang 3)" dataDxfId="8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8" sqref="A18"/>
    </sheetView>
  </sheetViews>
  <sheetFormatPr baseColWidth="10" defaultColWidth="8.83203125" defaultRowHeight="15"/>
  <cols>
    <col width="21.33203125" customWidth="1" style="129" min="1" max="1"/>
    <col width="12.83203125" bestFit="1" customWidth="1" style="129" min="2" max="2"/>
    <col width="30.1640625" customWidth="1" style="129" min="3" max="3"/>
  </cols>
  <sheetData>
    <row r="1">
      <c r="A1" s="125" t="inlineStr">
        <is>
          <t>dataType Definition</t>
        </is>
      </c>
      <c r="B1" s="126"/>
      <c r="C1" s="127"/>
    </row>
    <row r="2">
      <c r="A2" s="122" t="inlineStr">
        <is>
          <t>General</t>
        </is>
      </c>
      <c r="B2" s="122" t="inlineStr">
        <is>
          <t>Type</t>
        </is>
      </c>
      <c r="C2" s="122" t="inlineStr">
        <is>
          <t>FRAMEWORK_KIND</t>
        </is>
      </c>
    </row>
    <row r="3">
      <c r="A3" s="121" t="inlineStr">
        <is>
          <t>All Characters</t>
        </is>
      </c>
      <c r="B3" s="18" t="inlineStr">
        <is>
          <t>STRING</t>
        </is>
      </c>
      <c r="C3" s="19" t="inlineStr">
        <is>
          <t>Spring Framework</t>
        </is>
      </c>
    </row>
    <row r="4">
      <c r="A4" s="121" t="inlineStr">
        <is>
          <t>Full-width</t>
        </is>
      </c>
      <c r="B4" s="18" t="inlineStr">
        <is>
          <t>INTEGER</t>
        </is>
      </c>
      <c r="C4" s="19"/>
    </row>
    <row r="5">
      <c r="A5" s="121" t="inlineStr">
        <is>
          <t>Half-width</t>
        </is>
      </c>
      <c r="B5" s="18" t="inlineStr">
        <is>
          <t>SHORT</t>
        </is>
      </c>
      <c r="C5" s="19"/>
    </row>
    <row r="6">
      <c r="A6" s="121" t="inlineStr">
        <is>
          <t>Half-width Numeric</t>
        </is>
      </c>
      <c r="B6" s="18" t="inlineStr">
        <is>
          <t>LONG</t>
        </is>
      </c>
      <c r="C6" s="19"/>
    </row>
    <row r="7">
      <c r="A7" s="121" t="inlineStr">
        <is>
          <t>Uppercase</t>
        </is>
      </c>
      <c r="B7" s="18" t="inlineStr">
        <is>
          <t>FLOAT</t>
        </is>
      </c>
      <c r="C7" s="19"/>
    </row>
    <row r="8">
      <c r="A8" s="121" t="inlineStr">
        <is>
          <t>Uppercase + Underscore</t>
        </is>
      </c>
      <c r="B8" s="18" t="inlineStr">
        <is>
          <t>DOUBLE</t>
        </is>
      </c>
      <c r="C8" s="19"/>
    </row>
    <row r="9">
      <c r="A9" s="121" t="inlineStr">
        <is>
          <t>Lowercase</t>
        </is>
      </c>
      <c r="B9" s="18" t="inlineStr">
        <is>
          <t>BIG_INTEGER</t>
        </is>
      </c>
      <c r="C9" s="19"/>
    </row>
    <row r="10">
      <c r="A10" s="121" t="inlineStr">
        <is>
          <t>Lowercase + Underscore</t>
        </is>
      </c>
      <c r="B10" s="18" t="inlineStr">
        <is>
          <t>BIG_DECIMAL</t>
        </is>
      </c>
      <c r="C10" s="19"/>
    </row>
    <row r="11">
      <c r="A11" s="121" t="inlineStr">
        <is>
          <t>Numeric + Uppercase</t>
        </is>
      </c>
      <c r="B11" s="18" t="inlineStr">
        <is>
          <t>YEAR_MONTH</t>
        </is>
      </c>
      <c r="C11" s="19"/>
    </row>
    <row r="12">
      <c r="A12" s="121" t="inlineStr">
        <is>
          <t>Numeric + Uppercase + Underscore</t>
        </is>
      </c>
      <c r="B12" s="18" t="inlineStr">
        <is>
          <t>DATE</t>
        </is>
      </c>
      <c r="C12" s="19"/>
    </row>
    <row r="13">
      <c r="A13" s="121" t="inlineStr">
        <is>
          <t>Numeric + Lowercase</t>
        </is>
      </c>
      <c r="B13" s="18" t="inlineStr">
        <is>
          <t>TIME</t>
        </is>
      </c>
      <c r="C13" s="19"/>
    </row>
    <row r="14">
      <c r="A14" s="121" t="inlineStr">
        <is>
          <t>Numeric + Lowercase + Underscore</t>
        </is>
      </c>
      <c r="B14" s="18" t="inlineStr">
        <is>
          <t>DATE_TIME</t>
        </is>
      </c>
      <c r="C14" s="19"/>
    </row>
    <row r="15">
      <c r="A15" s="121" t="inlineStr">
        <is>
          <t>Alphanumeric</t>
        </is>
      </c>
      <c r="B15" s="18" t="inlineStr">
        <is>
          <t>TIMESTAMP</t>
        </is>
      </c>
      <c r="C15" s="19"/>
    </row>
    <row r="16">
      <c r="A16" s="121" t="inlineStr">
        <is>
          <t>Alphanumeric + Underscore</t>
        </is>
      </c>
      <c r="B16" s="18" t="inlineStr">
        <is>
          <t>ENUM</t>
        </is>
      </c>
      <c r="C16" s="19"/>
    </row>
    <row r="17">
      <c r="A17" s="19"/>
      <c r="B17" s="18" t="inlineStr">
        <is>
          <t>BOOLEAN</t>
        </is>
      </c>
      <c r="C17" s="19"/>
    </row>
    <row r="18">
      <c r="A18" s="19"/>
      <c r="B18" s="18"/>
      <c r="C18" s="19"/>
    </row>
    <row r="19">
      <c r="B19" s="16"/>
    </row>
    <row r="20">
      <c r="C20" t="inlineStr">
        <is>
          <t>※"jakarta EE" assumued but not ready</t>
        </is>
      </c>
    </row>
  </sheetData>
  <mergeCells count="1">
    <mergeCell ref="A1:C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B26" sqref="B26"/>
    </sheetView>
  </sheetViews>
  <sheetFormatPr baseColWidth="10" defaultColWidth="8.83203125" defaultRowHeight="15"/>
  <cols>
    <col width="22" bestFit="1" customWidth="1" style="129" min="1" max="1"/>
    <col width="26" customWidth="1" style="129" min="2" max="2"/>
    <col width="19.1640625" bestFit="1" customWidth="1" style="129" min="3" max="3"/>
  </cols>
  <sheetData>
    <row r="1">
      <c r="A1" t="inlineStr">
        <is>
          <t>Data Pattern</t>
        </is>
      </c>
      <c r="B1" t="inlineStr">
        <is>
          <t>enumValue</t>
        </is>
      </c>
    </row>
    <row r="2">
      <c r="A2" t="inlineStr">
        <is>
          <t>All Characters</t>
        </is>
      </c>
      <c r="B2" t="inlineStr">
        <is>
          <t>REG_EX_ALL</t>
        </is>
      </c>
    </row>
    <row r="3">
      <c r="A3" t="inlineStr">
        <is>
          <t>Half-width</t>
        </is>
      </c>
      <c r="B3" t="inlineStr">
        <is>
          <t>REG_EX_HAN</t>
        </is>
      </c>
    </row>
    <row r="4">
      <c r="A4" t="inlineStr">
        <is>
          <t>Half-width Numeric</t>
        </is>
      </c>
      <c r="B4" t="inlineStr">
        <is>
          <t>REG_EX_HAN_NUM</t>
        </is>
      </c>
    </row>
    <row r="5">
      <c r="A5" t="inlineStr">
        <is>
          <t>Uppercase</t>
        </is>
      </c>
      <c r="B5" t="inlineStr">
        <is>
          <t>REG_EX_HAN_UC</t>
        </is>
      </c>
    </row>
    <row r="6">
      <c r="A6" t="inlineStr">
        <is>
          <t>Uppercase + Underscore</t>
        </is>
      </c>
      <c r="B6" t="inlineStr">
        <is>
          <t>REG_EX_HAN_UC_US</t>
        </is>
      </c>
    </row>
    <row r="7">
      <c r="A7" t="inlineStr">
        <is>
          <t>Lowercase</t>
        </is>
      </c>
      <c r="B7" t="inlineStr">
        <is>
          <t>REG_EX_HAN_LC</t>
        </is>
      </c>
    </row>
    <row r="8">
      <c r="A8" t="inlineStr">
        <is>
          <t>Lowercase + Underscore</t>
        </is>
      </c>
      <c r="B8" t="inlineStr">
        <is>
          <t>REG_EX_HAN_LC_US</t>
        </is>
      </c>
    </row>
    <row r="9">
      <c r="A9" t="inlineStr">
        <is>
          <t>Numeric + Uppercase</t>
        </is>
      </c>
      <c r="B9" t="inlineStr">
        <is>
          <t>REG_EX_HAN_NUM_UC</t>
        </is>
      </c>
    </row>
    <row r="10">
      <c r="A10" t="inlineStr">
        <is>
          <t>Numeric + Uppercase + Underscore</t>
        </is>
      </c>
      <c r="B10" t="inlineStr">
        <is>
          <t>REG_EX_HAN_NUM_UC_US</t>
        </is>
      </c>
    </row>
    <row r="11">
      <c r="A11" t="inlineStr">
        <is>
          <t>Numeric + Lowercase</t>
        </is>
      </c>
      <c r="B11" t="inlineStr">
        <is>
          <t>REG_EX_HAN_NUM_LC</t>
        </is>
      </c>
    </row>
    <row r="12">
      <c r="A12" t="inlineStr">
        <is>
          <t>Numeric + Lowercase + Underscore</t>
        </is>
      </c>
      <c r="B12" t="inlineStr">
        <is>
          <t>REG_EX_HAN_NUM_LC_US</t>
        </is>
      </c>
    </row>
    <row r="13">
      <c r="A13" t="inlineStr">
        <is>
          <t>Alphanumeric</t>
        </is>
      </c>
      <c r="B13" t="inlineStr">
        <is>
          <t>REG_EX_HAN_NUM_UC_LC</t>
        </is>
      </c>
    </row>
    <row r="14">
      <c r="A14" t="inlineStr">
        <is>
          <t>Alphanumeric + Underscore</t>
        </is>
      </c>
      <c r="B14" t="inlineStr">
        <is>
          <t>REG_EX_HAN_NUM_UC_LC_US</t>
        </is>
      </c>
    </row>
    <row r="15">
      <c r="A15" t="inlineStr">
        <is>
          <t>Full-width</t>
        </is>
      </c>
      <c r="B15" t="inlineStr">
        <is>
          <t>REG_EX_ZEN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B26" sqref="B26"/>
    </sheetView>
  </sheetViews>
  <sheetFormatPr baseColWidth="10" defaultColWidth="8.83203125" defaultRowHeight="15"/>
  <cols>
    <col width="25.1640625" bestFit="1" customWidth="1" style="129" min="1" max="1"/>
    <col width="12.1640625" customWidth="1" style="129" min="2" max="2"/>
    <col width="12.1640625" bestFit="1" customWidth="1" style="129" min="3" max="3"/>
  </cols>
  <sheetData>
    <row r="1">
      <c r="A1" t="inlineStr">
        <is>
          <t>FK Type (Japanese)</t>
        </is>
      </c>
      <c r="B1" t="inlineStr">
        <is>
          <t>FK Type</t>
        </is>
      </c>
      <c r="C1" t="inlineStr">
        <is>
          <t>Direction</t>
        </is>
      </c>
    </row>
    <row r="2">
      <c r="A2" t="inlineStr">
        <is>
          <t>Source 1 - Target 1 (unidirectional)</t>
        </is>
      </c>
      <c r="B2" t="inlineStr">
        <is>
          <t>OneToOne</t>
        </is>
      </c>
      <c r="C2" t="inlineStr">
        <is>
          <t>unidirectional</t>
        </is>
      </c>
    </row>
    <row r="3">
      <c r="A3" t="inlineStr">
        <is>
          <t>Source 1 - Target 1 (bidirectional)</t>
        </is>
      </c>
      <c r="B3" t="inlineStr">
        <is>
          <t>OneToOne</t>
        </is>
      </c>
      <c r="C3" t="inlineStr">
        <is>
          <t>bidirectional</t>
        </is>
      </c>
    </row>
    <row r="4">
      <c r="A4" t="inlineStr">
        <is>
          <t>Source N - Target 1 (unidirectional)</t>
        </is>
      </c>
      <c r="B4" t="inlineStr">
        <is>
          <t>ManyToOne</t>
        </is>
      </c>
      <c r="C4" t="inlineStr">
        <is>
          <t>unidirectional</t>
        </is>
      </c>
    </row>
    <row r="11">
      <c r="A11" t="inlineStr">
        <is>
          <t>* The following are not supported by the framework due to performance concerns</t>
        </is>
      </c>
    </row>
    <row r="12">
      <c r="A12" t="inlineStr">
        <is>
          <t>Source 1 - Target N (unidirectional)</t>
        </is>
      </c>
    </row>
    <row r="13">
      <c r="A13" s="46" t="inlineStr">
        <is>
          <t>Source N - Target 1 / Source 1 - Target N (bidirectional)</t>
        </is>
      </c>
    </row>
    <row r="14">
      <c r="A14" t="inlineStr">
        <is>
          <t>Source M - Target N (unidirectional)</t>
        </is>
      </c>
    </row>
    <row r="15">
      <c r="A15" t="inlineStr">
        <is>
          <t>Source M - Target N (bidirectional)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zoomScaleNormal="100" workbookViewId="0">
      <selection activeCell="A1" sqref="A1"/>
    </sheetView>
  </sheetViews>
  <sheetFormatPr baseColWidth="10" defaultColWidth="8.83203125" defaultRowHeight="15"/>
  <cols>
    <col width="11.6640625" customWidth="1" style="129" min="1" max="1"/>
    <col width="12.1640625" bestFit="1" customWidth="1" style="11" min="2" max="2"/>
    <col width="113.6640625" customWidth="1" style="129" min="3" max="3"/>
    <col width="9" customWidth="1" style="10" min="4" max="4"/>
  </cols>
  <sheetData>
    <row r="1">
      <c r="A1" s="12" t="inlineStr">
        <is>
          <t>Format Change History</t>
        </is>
      </c>
    </row>
    <row r="3">
      <c r="A3" s="77" t="inlineStr">
        <is>
          <t>Date</t>
        </is>
      </c>
      <c r="B3" s="77" t="inlineStr">
        <is>
          <t>Version</t>
        </is>
      </c>
      <c r="C3" s="77" t="inlineStr">
        <is>
          <t>Changes</t>
        </is>
      </c>
      <c r="D3" s="77" t="inlineStr">
        <is>
          <t>Changed By</t>
        </is>
      </c>
    </row>
    <row r="4" ht="80" customHeight="1" s="129">
      <c r="A4" s="13" t="n">
        <v>46196</v>
      </c>
      <c r="B4" s="14" t="inlineStr">
        <is>
          <t>v5.0.0</t>
        </is>
      </c>
      <c r="C4" s="15" t="inlineStr">
        <is>
          <t>■Version Information
- Supported code-generator version: 15.0.0-beta.4 or later
■Change Description
- Added English version of the Excel template</t>
        </is>
      </c>
      <c r="D4" s="4" t="inlineStr">
        <is>
          <t>Y.Tanaka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13" zoomScaleNormal="110" workbookViewId="0">
      <pane ySplit="5" topLeftCell="A6" activePane="bottomLeft" state="frozen"/>
      <selection pane="bottomLeft" activeCell="G7" sqref="G7"/>
    </sheetView>
  </sheetViews>
  <sheetFormatPr baseColWidth="10" defaultColWidth="11" defaultRowHeight="15"/>
  <cols>
    <col width="4.5" bestFit="1" customWidth="1" style="129" min="1" max="1"/>
    <col hidden="1" width="19.33203125" customWidth="1" style="129" min="2" max="2"/>
    <col width="16" customWidth="1" style="45" min="3" max="3"/>
    <col hidden="1" width="27.6640625" customWidth="1" style="129" min="4" max="4"/>
    <col width="64.33203125" customWidth="1" style="129" min="5" max="5"/>
    <col width="7.33203125" bestFit="1" customWidth="1" style="129" min="6" max="6"/>
    <col width="30.1640625" bestFit="1" customWidth="1" style="129" min="7" max="7"/>
    <col width="48.33203125" customWidth="1" style="129" min="8" max="8"/>
  </cols>
  <sheetData>
    <row r="1">
      <c r="A1" s="29" t="inlineStr">
        <is>
          <t>General Settings</t>
        </is>
      </c>
    </row>
    <row r="3">
      <c r="A3" t="inlineStr">
        <is>
          <t>* Fill in the "Value" and "Notes" columns only. Do not modify other columns. "Notes" is optional (no system impact).</t>
        </is>
      </c>
    </row>
    <row r="5" ht="16" customHeight="1" s="129">
      <c r="A5" s="67" t="inlineStr">
        <is>
          <t>#</t>
        </is>
      </c>
      <c r="B5" s="67" t="inlineStr">
        <is>
          <t>Category</t>
        </is>
      </c>
      <c r="C5" s="68" t="inlineStr">
        <is>
          <t>Category Name</t>
        </is>
      </c>
      <c r="D5" s="67" t="inlineStr">
        <is>
          <t>Key</t>
        </is>
      </c>
      <c r="E5" s="67" t="inlineStr">
        <is>
          <t>Description</t>
        </is>
      </c>
      <c r="F5" s="67" t="inlineStr">
        <is>
          <t>Required</t>
        </is>
      </c>
      <c r="G5" t="inlineStr">
        <is>
          <t>Value</t>
        </is>
      </c>
      <c r="H5" t="inlineStr">
        <is>
          <t>Notes</t>
        </is>
      </c>
    </row>
    <row r="6" ht="16" customHeight="1" s="129">
      <c r="A6" s="1" t="str">
        <f>ROW()-5</f>
        <v/>
      </c>
      <c r="B6" s="1" t="inlineStr">
        <is>
          <t>SYSTEM_COMMON</t>
        </is>
      </c>
      <c r="C6" s="15" t="inlineStr">
        <is>
          <t>System Common</t>
        </is>
      </c>
      <c r="D6" s="1" t="inlineStr">
        <is>
          <t>TEMPLATE_VERSION</t>
        </is>
      </c>
      <c r="E6" s="15" t="inlineStr">
        <is>
          <t>Template version of this Excel file</t>
        </is>
      </c>
      <c r="F6" s="27" t="inlineStr">
        <is>
          <t>◯</t>
        </is>
      </c>
      <c r="G6" s="1" t="inlineStr">
        <is>
          <t>5.0.0</t>
        </is>
      </c>
      <c r="H6" s="1"/>
    </row>
    <row r="7" ht="32" customHeight="1" s="129">
      <c r="A7" s="1" t="str">
        <f>ROW()-5</f>
        <v/>
      </c>
      <c r="B7" s="1" t="inlineStr">
        <is>
          <t>SYSTEM_COMMON</t>
        </is>
      </c>
      <c r="C7" s="15" t="inlineStr">
        <is>
          <t>System Common</t>
        </is>
      </c>
      <c r="D7" s="1" t="inlineStr">
        <is>
          <t>SYSTEM_NAME</t>
        </is>
      </c>
      <c r="E7" s="15" t="inlineStr">
        <is>
          <t>System name
* Used as the parent folder name for auto-generated source files</t>
        </is>
      </c>
      <c r="F7" s="27" t="inlineStr">
        <is>
          <t>◯</t>
        </is>
      </c>
      <c r="G7" s="1"/>
      <c r="H7" s="1"/>
    </row>
    <row r="8" ht="16" customHeight="1" s="129">
      <c r="A8" s="1" t="str">
        <f>ROW()-5</f>
        <v/>
      </c>
      <c r="B8" s="1" t="inlineStr">
        <is>
          <t>SYSTEM_COMMON</t>
        </is>
      </c>
      <c r="C8" s="15" t="inlineStr">
        <is>
          <t>System Common</t>
        </is>
      </c>
      <c r="D8" s="1" t="inlineStr">
        <is>
          <t>BASE_PACKAGE</t>
        </is>
      </c>
      <c r="E8" s="1" t="inlineStr">
        <is>
          <t>Common part of the package name</t>
        </is>
      </c>
      <c r="F8" s="27" t="inlineStr">
        <is>
          <t>◯</t>
        </is>
      </c>
      <c r="G8" s="1"/>
      <c r="H8" s="1"/>
    </row>
    <row r="9" ht="32" customHeight="1" s="129">
      <c r="A9" s="1" t="str">
        <f>ROW()-5</f>
        <v/>
      </c>
      <c r="B9" s="1" t="inlineStr">
        <is>
          <t>SYSTEM_COMMON</t>
        </is>
      </c>
      <c r="C9" s="15" t="inlineStr">
        <is>
          <t>System Common</t>
        </is>
      </c>
      <c r="D9" s="1" t="inlineStr">
        <is>
          <t>FRAMEWORK_KIND</t>
        </is>
      </c>
      <c r="E9" s="15" t="inlineStr">
        <is>
          <t>Framework type
* Generated code differs depending on the specified type</t>
        </is>
      </c>
      <c r="F9" s="27" t="inlineStr">
        <is>
          <t>◯</t>
        </is>
      </c>
      <c r="G9" s="1"/>
      <c r="H9" s="1"/>
    </row>
    <row r="10" ht="16" customHeight="1" s="129">
      <c r="A10" s="1" t="str">
        <f>ROW()-5</f>
        <v/>
      </c>
      <c r="B10" s="1" t="inlineStr">
        <is>
          <t>SYSTEM_COMMON</t>
        </is>
      </c>
      <c r="C10" s="15" t="inlineStr">
        <is>
          <t>System Common</t>
        </is>
      </c>
      <c r="D10" s="1" t="inlineStr">
        <is>
          <t>CHARSET</t>
        </is>
      </c>
      <c r="E10" s="1" t="inlineStr">
        <is>
          <t>Source code character encoding ("UTF-8" recommended)</t>
        </is>
      </c>
      <c r="F10" s="27" t="inlineStr">
        <is>
          <t>◯</t>
        </is>
      </c>
      <c r="G10" s="1"/>
      <c r="H10" s="1"/>
    </row>
    <row r="11" ht="32" customHeight="1" s="129">
      <c r="A11" s="1" t="str">
        <f>ROW()-5</f>
        <v/>
      </c>
      <c r="B11" s="1" t="inlineStr">
        <is>
          <t>SYSTEM_COMMON</t>
        </is>
      </c>
      <c r="C11" s="15" t="inlineStr">
        <is>
          <t>System Common</t>
        </is>
      </c>
      <c r="D11" s="1" t="inlineStr">
        <is>
          <t>LANG_DEFAULT</t>
        </is>
      </c>
      <c r="E11" s="15" t="inlineStr">
        <is>
          <t>Default language
* Specify a locale string such as "en". "en_US" etc. are also supported.</t>
        </is>
      </c>
      <c r="F11" s="27" t="inlineStr">
        <is>
          <t>◯</t>
        </is>
      </c>
      <c r="G11" s="1"/>
      <c r="H11" s="1"/>
    </row>
    <row r="12" ht="48" customHeight="1" s="129">
      <c r="A12" s="1" t="str">
        <f>ROW()-5</f>
        <v/>
      </c>
      <c r="B12" s="1" t="inlineStr">
        <is>
          <t>SYSTEM_COMMON</t>
        </is>
      </c>
      <c r="C12" s="15" t="inlineStr">
        <is>
          <t>System Common</t>
        </is>
      </c>
      <c r="D12" s="1" t="inlineStr">
        <is>
          <t>LANG_SUPPORT_01</t>
        </is>
      </c>
      <c r="E12" s="15" t="inlineStr">
        <is>
          <t>Support language 1
* Enter support languages in order 1, 2, 3. Having 1 empty while 2 is filled will cause an error.</t>
        </is>
      </c>
      <c r="F12" s="27"/>
      <c r="G12" s="1"/>
      <c r="H12" s="1"/>
    </row>
    <row r="13" ht="16" customHeight="1" s="129">
      <c r="A13" s="1" t="str">
        <f>ROW()-5</f>
        <v/>
      </c>
      <c r="B13" s="1" t="inlineStr">
        <is>
          <t>SYSTEM_COMMON</t>
        </is>
      </c>
      <c r="C13" s="15" t="inlineStr">
        <is>
          <t>System Common</t>
        </is>
      </c>
      <c r="D13" s="1" t="inlineStr">
        <is>
          <t>LANG_SUPPORT_02</t>
        </is>
      </c>
      <c r="E13" s="1" t="inlineStr">
        <is>
          <t>Support language 2</t>
        </is>
      </c>
      <c r="F13" s="4"/>
      <c r="G13" s="1"/>
      <c r="H13" s="1"/>
    </row>
    <row r="14" ht="16" customHeight="1" s="129">
      <c r="A14" s="1" t="str">
        <f>ROW()-5</f>
        <v/>
      </c>
      <c r="B14" s="1" t="inlineStr">
        <is>
          <t>SYSTEM_COMMON</t>
        </is>
      </c>
      <c r="C14" s="15" t="inlineStr">
        <is>
          <t>System Common</t>
        </is>
      </c>
      <c r="D14" s="1" t="inlineStr">
        <is>
          <t>LANG_SUPPORT_03</t>
        </is>
      </c>
      <c r="E14" s="1" t="inlineStr">
        <is>
          <t>Support language 3</t>
        </is>
      </c>
      <c r="F14" s="4"/>
      <c r="G14" s="1"/>
      <c r="H14" s="1"/>
    </row>
    <row r="15" ht="16" customHeight="1" s="129">
      <c r="A15" s="1" t="str">
        <f>ROW()-5</f>
        <v/>
      </c>
      <c r="B15" s="1" t="inlineStr">
        <is>
          <t>SYSTEM_COMMON</t>
        </is>
      </c>
      <c r="C15" s="15" t="inlineStr">
        <is>
          <t>System Common</t>
        </is>
      </c>
      <c r="D15" s="1" t="inlineStr">
        <is>
          <t>PROHIBITED_CHARS</t>
        </is>
      </c>
      <c r="E15" s="1" t="inlineStr">
        <is>
          <t>Prohibited characters</t>
        </is>
      </c>
      <c r="F15" s="4"/>
      <c r="G15" s="1"/>
      <c r="H15" s="1"/>
    </row>
    <row r="16" ht="32" customHeight="1" s="129">
      <c r="A16" s="1" t="str">
        <f>ROW()-5</f>
        <v/>
      </c>
      <c r="B16" s="1" t="inlineStr">
        <is>
          <t>SYSTEM_COMMON</t>
        </is>
      </c>
      <c r="C16" s="15" t="inlineStr">
        <is>
          <t>System Common</t>
        </is>
      </c>
      <c r="D16" s="1" t="inlineStr">
        <is>
          <t>PROHIBITED_CHARS_DESC_LANG_DEFAULT</t>
        </is>
      </c>
      <c r="E16" s="15" t="inlineStr">
        <is>
          <t>Prohibited chars pattern description (default language)
* Required when "Prohibited characters" is not empty.</t>
        </is>
      </c>
      <c r="F16" s="4"/>
      <c r="G16" s="1"/>
      <c r="H16" s="1"/>
    </row>
    <row r="17" ht="48" customHeight="1" s="129">
      <c r="A17" s="1" t="str">
        <f>ROW()-5</f>
        <v/>
      </c>
      <c r="B17" s="1" t="inlineStr">
        <is>
          <t>SYSTEM_COMMON</t>
        </is>
      </c>
      <c r="C17" s="15" t="inlineStr">
        <is>
          <t>System Common</t>
        </is>
      </c>
      <c r="D17" s="1" t="inlineStr">
        <is>
          <t>PROHIBITED_CHARS_DESC_LANG_SUPPORT_01</t>
        </is>
      </c>
      <c r="E17" s="15" t="inlineStr">
        <is>
          <t>Prohibited chars pattern description (additional language 1)
* Required when "Prohibited characters" and "Support language 1" are both not empty.</t>
        </is>
      </c>
      <c r="F17" s="4"/>
      <c r="G17" s="1"/>
      <c r="H17" s="1"/>
    </row>
    <row r="18" ht="48" customHeight="1" s="129">
      <c r="A18" s="1" t="str">
        <f>ROW()-5</f>
        <v/>
      </c>
      <c r="B18" s="1" t="inlineStr">
        <is>
          <t>SYSTEM_COMMON</t>
        </is>
      </c>
      <c r="C18" s="15" t="inlineStr">
        <is>
          <t>System Common</t>
        </is>
      </c>
      <c r="D18" s="1" t="inlineStr">
        <is>
          <t>PROHIBITED_CHARS_DESC_LANG_SUPPORT_02</t>
        </is>
      </c>
      <c r="E18" s="15" t="inlineStr">
        <is>
          <t>Prohibited chars pattern description (additional language 2)
* Required when "Prohibited characters" and "Support language 2" are both not empty.</t>
        </is>
      </c>
      <c r="F18" s="4"/>
      <c r="G18" s="1"/>
      <c r="H18" s="1"/>
    </row>
    <row r="19" ht="48" customHeight="1" s="129">
      <c r="A19" s="1" t="str">
        <f>ROW()-5</f>
        <v/>
      </c>
      <c r="B19" s="1" t="inlineStr">
        <is>
          <t>SYSTEM_COMMON</t>
        </is>
      </c>
      <c r="C19" s="15" t="inlineStr">
        <is>
          <t>System Common</t>
        </is>
      </c>
      <c r="D19" s="1" t="inlineStr">
        <is>
          <t>PROHIBITED_CHARS_DESC_LANG_SUPPORT_03</t>
        </is>
      </c>
      <c r="E19" s="15" t="inlineStr">
        <is>
          <t>Prohibited chars pattern description (additional language 3)
* Required when "Prohibited characters" and "Support language 3" are both not empty.</t>
        </is>
      </c>
      <c r="F19" s="4"/>
      <c r="G19" s="1"/>
      <c r="H19" s="1"/>
    </row>
    <row r="20" ht="112" customHeight="1" s="129">
      <c r="A20" s="1" t="str">
        <f>ROW()-5</f>
        <v/>
      </c>
      <c r="B20" s="1" t="inlineStr">
        <is>
          <t>LOGICAL_DELETE</t>
        </is>
      </c>
      <c r="C20" s="15" t="inlineStr">
        <is>
          <t>Logical Delete</t>
        </is>
      </c>
      <c r="D20" s="1" t="inlineStr">
        <is>
          <t>COLUMN_NAME</t>
        </is>
      </c>
      <c r="E20" s="15" t="inlineStr">
        <is>
      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      </is>
      </c>
      <c r="F20" s="27"/>
      <c r="G20" s="2"/>
      <c r="H20" s="15"/>
    </row>
    <row r="21" ht="32" customHeight="1" s="129">
      <c r="A21" s="1" t="str">
        <f>ROW()-5</f>
        <v/>
      </c>
      <c r="B21" s="1" t="inlineStr">
        <is>
          <t>LOGICAL_DELETE</t>
        </is>
      </c>
      <c r="C21" s="15" t="inlineStr">
        <is>
          <t>Logical Delete</t>
        </is>
      </c>
      <c r="D21" s="1" t="inlineStr">
        <is>
          <t>DATA_TYPE_NAME</t>
        </is>
      </c>
      <c r="E21" s="15" t="inlineStr">
        <is>
          <t>DataType Name
* Only BOOLEAN type DataTypes are supported in this version.</t>
        </is>
      </c>
      <c r="F21" s="4"/>
      <c r="G21" s="2"/>
      <c r="H21" s="15"/>
    </row>
    <row r="22" ht="32" customHeight="1" s="129">
      <c r="A22" s="1" t="str">
        <f>ROW()-5</f>
        <v/>
      </c>
      <c r="B22" s="1" t="inlineStr">
        <is>
          <t>LOGICAL_DELETE</t>
        </is>
      </c>
      <c r="C22" s="15" t="inlineStr">
        <is>
          <t>Logical Delete</t>
        </is>
      </c>
      <c r="D22" s="1" t="inlineStr">
        <is>
          <t>DEFAULT_VALUE</t>
        </is>
      </c>
      <c r="E22" s="15" t="inlineStr">
        <is>
          <t>Initial value (before logical delete)
* Specify true/false for BOOLEAN type DataType.</t>
        </is>
      </c>
      <c r="F22" s="27"/>
      <c r="G22" s="2"/>
      <c r="H22" s="15"/>
    </row>
    <row r="23" ht="32" customHeight="1" s="129">
      <c r="A23" s="1" t="str">
        <f>ROW()-5</f>
        <v/>
      </c>
      <c r="B23" s="1" t="inlineStr">
        <is>
          <t>LOGICAL_DELETE</t>
        </is>
      </c>
      <c r="C23" s="15" t="inlineStr">
        <is>
          <t>Logical Delete</t>
        </is>
      </c>
      <c r="D23" s="1" t="inlineStr">
        <is>
          <t>UPDATE_VALUE</t>
        </is>
      </c>
      <c r="E23" s="15" t="inlineStr">
        <is>
          <t>Update value (after logical delete)
* See "DEFAULT_VALUE" for notation.</t>
        </is>
      </c>
      <c r="F23" s="27"/>
      <c r="G23" s="2"/>
      <c r="H23" s="15"/>
    </row>
    <row r="24" ht="160" customHeight="1" s="129">
      <c r="A24" s="1" t="str">
        <f>ROW()-5</f>
        <v/>
      </c>
      <c r="B24" s="1" t="inlineStr">
        <is>
          <t>GROUPING</t>
        </is>
      </c>
      <c r="C24" s="15" t="inlineStr">
        <is>
          <t>Group Access Restriction Settings</t>
        </is>
      </c>
      <c r="D24" s="1" t="inlineStr">
        <is>
          <t>COLUMN_NAME</t>
        </is>
      </c>
      <c r="E24" s="15" t="inlineStr">
        <is>
      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      </is>
      </c>
      <c r="F24" s="27"/>
      <c r="G24" s="1"/>
      <c r="H24" s="1"/>
    </row>
    <row r="25" ht="32" customHeight="1" s="129">
      <c r="A25" s="1" t="str">
        <f>ROW()-5</f>
        <v/>
      </c>
      <c r="B25" s="1" t="inlineStr">
        <is>
          <t>GROUPING</t>
        </is>
      </c>
      <c r="C25" s="15" t="inlineStr">
        <is>
          <t>Group Access Restriction Settings</t>
        </is>
      </c>
      <c r="D25" s="1" t="inlineStr">
        <is>
          <t>DATA_TYPE_NAME</t>
        </is>
      </c>
      <c r="E25" s="1" t="inlineStr">
        <is>
          <t>DataType Name</t>
        </is>
      </c>
      <c r="F25" s="4"/>
      <c r="G25" s="1"/>
      <c r="H25" s="1"/>
    </row>
    <row r="26" ht="32" customHeight="1" s="129">
      <c r="A26" s="1" t="str">
        <f>ROW()-5</f>
        <v/>
      </c>
      <c r="B26" s="1" t="inlineStr">
        <is>
          <t>GROUPING</t>
        </is>
      </c>
      <c r="C26" s="15" t="inlineStr">
        <is>
          <t>Group Access Restriction Settings</t>
        </is>
      </c>
      <c r="D26" s="1" t="inlineStr">
        <is>
          <t>TABLE_NAMES_WITHOUT_GROUPING</t>
        </is>
      </c>
      <c r="E26" s="15" t="inlineStr">
        <is>
          <t>Explicitly list tables without group settings to prevent accidental omissions.
* Specify multiple tables in CSV format: "TABLE_1,TABLE_2".</t>
        </is>
      </c>
      <c r="F26" s="27"/>
      <c r="G26" s="1"/>
      <c r="H26" s="1"/>
    </row>
    <row r="27" ht="80" customHeight="1" s="129">
      <c r="A27" s="1" t="str">
        <f>ROW()-5</f>
        <v/>
      </c>
      <c r="B27" s="1" t="inlineStr">
        <is>
          <t>OPTIMISTIC_LOCKING</t>
        </is>
      </c>
      <c r="C27" s="15" t="inlineStr">
        <is>
          <t>Optimistic Locking</t>
        </is>
      </c>
      <c r="D27" s="1" t="inlineStr">
        <is>
          <t>COLUMN_NAME</t>
        </is>
      </c>
      <c r="E27" s="15" t="inlineStr">
        <is>
          <t>Column name for optimistic locking
* Leave blank if not using optimistic locking (leave all subsequent entries blank too).
* Any column with this name is treated as an optimistic lock column; rename it if used for other purposes.</t>
        </is>
      </c>
      <c r="F27" s="27"/>
      <c r="G27" s="1"/>
      <c r="H27" s="1"/>
    </row>
    <row r="28" ht="16" customHeight="1" s="129">
      <c r="A28" s="1" t="str">
        <f>ROW()-5</f>
        <v/>
      </c>
      <c r="B28" s="1" t="inlineStr">
        <is>
          <t>OPTIMISTIC_LOCKING</t>
        </is>
      </c>
      <c r="C28" s="15" t="inlineStr">
        <is>
          <t>Optimistic Locking</t>
        </is>
      </c>
      <c r="D28" s="1" t="inlineStr">
        <is>
          <t>DATA_TYPE_NAME</t>
        </is>
      </c>
      <c r="E28" s="1" t="inlineStr">
        <is>
          <t>DataType Name</t>
        </is>
      </c>
      <c r="F28" s="4"/>
      <c r="G28" s="1"/>
      <c r="H28" s="1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5"/>
  <sheetViews>
    <sheetView zoomScaleNormal="100" workbookViewId="0">
      <pane ySplit="7" topLeftCell="A8" activePane="bottomLeft" state="frozen"/>
      <selection pane="bottomLeft" activeCell="E8" sqref="E8"/>
    </sheetView>
  </sheetViews>
  <sheetFormatPr baseColWidth="10" defaultColWidth="8.83203125" defaultRowHeight="15"/>
  <cols>
    <col width="39.1640625" bestFit="1" customWidth="1" style="129" min="1" max="1"/>
    <col width="11.5" bestFit="1" customWidth="1" style="129" min="2" max="2"/>
    <col width="9.1640625" bestFit="1" customWidth="1" style="131" min="3" max="3"/>
    <col width="9.6640625" customWidth="1" style="131" min="4" max="4"/>
    <col width="18.83203125" customWidth="1" style="131" min="5" max="5"/>
    <col width="18.1640625" customWidth="1" style="131" min="6" max="6"/>
    <col width="12.83203125" customWidth="1" style="131" min="7" max="7"/>
    <col width="14.6640625" bestFit="1" customWidth="1" style="131" min="8" max="8"/>
    <col outlineLevel="1" width="5.6640625" customWidth="1" style="129" min="9" max="10"/>
    <col outlineLevel="1" width="7.5" customWidth="1" style="129" min="11" max="11"/>
    <col outlineLevel="1" width="8" customWidth="1" style="129" min="12" max="14"/>
    <col outlineLevel="1" width="31.6640625" customWidth="1" style="129" min="15" max="15"/>
    <col width="16.33203125" customWidth="1" style="129" min="16" max="19"/>
  </cols>
  <sheetData>
    <row r="1">
      <c r="A1" s="7" t="inlineStr">
        <is>
          <t>dataType Definition</t>
        </is>
      </c>
      <c r="B1" s="131"/>
    </row>
    <row r="2" ht="16" customHeight="1" s="129">
      <c r="A2" s="7"/>
      <c r="B2" s="131"/>
      <c r="P2" s="71" t="inlineStr">
        <is>
          <t>Default Language</t>
        </is>
      </c>
      <c r="Q2" s="71" t="inlineStr">
        <is>
          <t>Additional Language 1</t>
        </is>
      </c>
      <c r="R2" s="71" t="inlineStr">
        <is>
          <t>Additional Language 2</t>
        </is>
      </c>
      <c r="S2" s="71" t="inlineStr">
        <is>
          <t>Additional Language 3</t>
        </is>
      </c>
    </row>
    <row r="3">
      <c r="A3" s="78" t="inlineStr">
        <is>
          <t>* DataType name prefix is fixed as "DT_"</t>
        </is>
      </c>
      <c r="B3" s="131"/>
      <c r="P3" s="32" t="str">
        <f>IF('General Settings'!$G$11=0,"",'General Settings'!$G$11)</f>
        <v/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>
      <c r="A4" s="7"/>
      <c r="B4" s="131"/>
    </row>
    <row r="5" ht="32" customHeight="1" s="129">
      <c r="A5" s="7"/>
      <c r="B5" s="28" t="inlineStr">
        <is>
          <t>Common</t>
        </is>
      </c>
      <c r="C5" s="130" t="inlineStr">
        <is>
          <t>Input Fields for STRING</t>
        </is>
      </c>
      <c r="I5" s="128" t="inlineStr">
        <is>
          <t>Input Fields for Numeric Types</t>
        </is>
      </c>
      <c r="M5" s="30" t="inlineStr">
        <is>
          <t>For
Enum</t>
        </is>
      </c>
      <c r="N5" s="50" t="inlineStr">
        <is>
          <t>For
Date/Time</t>
        </is>
      </c>
      <c r="O5" s="56" t="inlineStr">
        <is>
          <t>Notes</t>
        </is>
      </c>
      <c r="P5" s="130" t="inlineStr">
        <is>
          <t>Input Fields for STRING</t>
        </is>
      </c>
    </row>
    <row r="6">
      <c r="B6" s="20" t="inlineStr">
        <is>
          <t>Required</t>
        </is>
      </c>
      <c r="C6" s="26" t="inlineStr">
        <is>
          <t>Optional</t>
        </is>
      </c>
      <c r="D6" s="26" t="inlineStr">
        <is>
          <t>Required</t>
        </is>
      </c>
      <c r="E6" s="22" t="inlineStr">
        <is>
          <t>Required</t>
        </is>
      </c>
      <c r="F6" s="26" t="inlineStr">
        <is>
          <t>Required</t>
        </is>
      </c>
      <c r="G6" s="22" t="inlineStr">
        <is>
          <t>Optional</t>
        </is>
      </c>
      <c r="H6" s="22" t="inlineStr">
        <is>
          <t>Optional</t>
        </is>
      </c>
      <c r="I6" s="24" t="inlineStr">
        <is>
          <t>Optional</t>
        </is>
      </c>
      <c r="J6" s="24" t="inlineStr">
        <is>
          <t>Optional</t>
        </is>
      </c>
      <c r="K6" s="24" t="inlineStr">
        <is>
          <t>Optional</t>
        </is>
      </c>
      <c r="L6" s="24" t="inlineStr">
        <is>
          <t>Optional</t>
        </is>
      </c>
      <c r="M6" s="31" t="inlineStr">
        <is>
          <t>Required</t>
        </is>
      </c>
      <c r="N6" s="49" t="inlineStr">
        <is>
          <t>Optional</t>
        </is>
      </c>
      <c r="O6" s="21" t="inlineStr">
        <is>
          <t>Optional</t>
        </is>
      </c>
      <c r="P6" s="22" t="inlineStr">
        <is>
          <t>Optional</t>
        </is>
      </c>
      <c r="Q6" s="22" t="inlineStr">
        <is>
          <t>Optional</t>
        </is>
      </c>
      <c r="R6" s="22" t="inlineStr">
        <is>
          <t>Optional</t>
        </is>
      </c>
      <c r="S6" s="22" t="inlineStr">
        <is>
          <t>Optional</t>
        </is>
      </c>
    </row>
    <row r="7" ht="48" customHeight="1" s="129">
      <c r="A7" s="4" t="inlineStr">
        <is>
          <t>DataType Name</t>
        </is>
      </c>
      <c r="B7" s="4" t="inlineStr">
        <is>
          <t>Type</t>
        </is>
      </c>
      <c r="C7" s="5" t="inlineStr">
        <is>
          <t>Min Length</t>
        </is>
      </c>
      <c r="D7" s="5" t="inlineStr">
        <is>
          <t>Max Length</t>
        </is>
      </c>
      <c r="E7" s="5" t="inlineStr">
        <is>
          <t>Data Pattern (display name)</t>
        </is>
      </c>
      <c r="F7" s="69" t="inlineStr">
        <is>
          <t>Data Pattern</t>
        </is>
      </c>
      <c r="G7" s="5" t="inlineStr">
        <is>
          <t>Exclude Prohibited Chars Check</t>
        </is>
      </c>
      <c r="H7" s="5" t="inlineStr">
        <is>
          <t>Regex</t>
        </is>
      </c>
      <c r="I7" s="5" t="inlineStr">
        <is>
          <t>Min Value</t>
        </is>
      </c>
      <c r="J7" s="5" t="inlineStr">
        <is>
          <t>Max Value</t>
        </is>
      </c>
      <c r="K7" s="5" t="inlineStr">
        <is>
          <t>Integer Digits</t>
        </is>
      </c>
      <c r="L7" s="5" t="inlineStr">
        <is>
          <t>Decimal Digits</t>
        </is>
      </c>
      <c r="M7" s="5" t="inlineStr">
        <is>
          <t>Code Length</t>
        </is>
      </c>
      <c r="N7" s="5" t="inlineStr">
        <is>
          <t>No Timezone</t>
        </is>
      </c>
      <c r="O7" s="5" t="inlineStr">
        <is>
          <t>Notes</t>
        </is>
      </c>
      <c r="P7" s="5" t="inlineStr">
        <is>
          <t>Pattern Desc (Default Lang)</t>
        </is>
      </c>
      <c r="Q7" s="5" t="inlineStr">
        <is>
          <t>Pattern Desc (Additional Lang 1)</t>
        </is>
      </c>
      <c r="R7" s="5" t="inlineStr">
        <is>
          <t>Pattern Desc (Additional Lang 2)</t>
        </is>
      </c>
      <c r="S7" s="5" t="inlineStr">
        <is>
          <t>Pattern Desc (Additional Lang 3)</t>
        </is>
      </c>
    </row>
    <row r="8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ht="48" customHeight="1" s="129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ht="48" customHeight="1" s="129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ht="48" customHeight="1" s="129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ht="48" customHeight="1" s="129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ht="48" customHeight="1" s="129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ht="64" customHeight="1" s="129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ht="64" customHeight="1" s="129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ht="32" customHeight="1" s="129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ht="48" customHeight="1" s="129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sqref="F1:H1 F1048315:H1048576 F3:H4" showErrorMessage="1" showInputMessage="1" allowBlank="1" type="list">
      <formula1>INDIRECT(#REF!)</formula1>
    </dataValidation>
    <dataValidation sqref="G29:G30 R34:S34 H37 G34:G37 G45:H45 P35:S41 F38:H41 F53:H1048300" showErrorMessage="1" showInputMessage="1" allowBlank="1" type="list">
      <formula1>INDIRECT($C32)</formula1>
    </dataValidation>
    <dataValidation sqref="P33:S33 G33" showErrorMessage="1" showInputMessage="1" allowBlank="1" type="list">
      <formula1>INDIRECT($C35)</formula1>
    </dataValidation>
    <dataValidation sqref="N8:N45" showErrorMessage="1" showInputMessage="1" allowBlank="1" type="list">
      <formula1>"○"</formula1>
    </dataValidation>
    <dataValidation sqref="E8:E45" showErrorMessage="1" showInputMessage="1" allowBlank="1" type="list">
      <formula1>general</formula1>
    </dataValidation>
    <dataValidation sqref="F2:H2" showErrorMessage="1" showInputMessage="1" allowBlank="1" type="list">
      <formula1>INDIRECT($C6)</formula1>
    </dataValidation>
    <dataValidation sqref="F1048301:H1048314" showErrorMessage="1" showInputMessage="1" allowBlank="1" type="list">
      <formula1>INDIRECT($C1)</formula1>
    </dataValidation>
    <dataValidation sqref="F42:H44 P42:S45" showErrorMessage="1" showInputMessage="1" allowBlank="1" type="list">
      <formula1>INDIRECT($C53)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/>
  <cols>
    <col width="25.33203125" customWidth="1" style="131" min="1" max="1"/>
    <col width="9.1640625" bestFit="1" customWidth="1" style="131" min="2" max="2"/>
    <col width="51.5" bestFit="1" customWidth="1" style="131" min="3" max="3"/>
    <col outlineLevel="1" width="12.1640625" customWidth="1" style="131" min="4" max="4"/>
    <col outlineLevel="1" width="44.6640625" customWidth="1" style="129" min="5" max="5"/>
    <col width="25" customWidth="1" style="129" min="6" max="9"/>
  </cols>
  <sheetData>
    <row r="1">
      <c r="A1" s="7" t="inlineStr">
        <is>
          <t>Enum Definition</t>
        </is>
      </c>
      <c r="D1" s="7"/>
    </row>
    <row r="3" ht="16" customHeight="1" s="129">
      <c r="A3" s="131" t="inlineStr">
        <is>
          <t>* Enum class names are auto-generated from the DataType name.</t>
        </is>
      </c>
      <c r="F3" s="70" t="inlineStr">
        <is>
          <t>Default Language</t>
        </is>
      </c>
      <c r="G3" s="70" t="inlineStr">
        <is>
          <t>Additional Language 1</t>
        </is>
      </c>
      <c r="H3" s="70" t="inlineStr">
        <is>
          <t>Additional Language 2</t>
        </is>
      </c>
      <c r="I3" s="70" t="inlineStr">
        <is>
          <t>Additional Language 3</t>
        </is>
      </c>
    </row>
    <row r="4">
      <c r="A4" s="131" t="inlineStr">
        <is>
          <t xml:space="preserve">    Ex: DT_TRANSACTION_STATUS → Enum class name: TransactionStatusEnum</t>
        </is>
      </c>
      <c r="D4" s="52"/>
      <c r="F4" s="32" t="str">
        <f>IF('General Settings'!$G$11=0,"",'General Settings'!$G$11)</f>
        <v/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ht="16" customHeight="1" s="129">
      <c r="A6" s="131" t="inlineStr">
        <is>
          <t>DataType Name</t>
        </is>
      </c>
      <c r="B6" s="131" t="inlineStr">
        <is>
          <t>code</t>
        </is>
      </c>
      <c r="C6" s="131" t="inlineStr">
        <is>
          <t>varName</t>
        </is>
      </c>
      <c r="D6" s="131" t="inlineStr">
        <is>
          <t>Java Only</t>
        </is>
      </c>
      <c r="E6" s="131" t="inlineStr">
        <is>
          <t>Notes</t>
        </is>
      </c>
      <c r="F6" s="76" t="inlineStr">
        <is>
          <t>Display Name (Default Lang)</t>
        </is>
      </c>
      <c r="G6" s="76" t="inlineStr">
        <is>
          <t>Display Name (Additional Lang 1)</t>
        </is>
      </c>
      <c r="H6" s="76" t="inlineStr">
        <is>
          <t>Display Name (Additional Lang 2)</t>
        </is>
      </c>
      <c r="I6" s="76" t="inlineStr">
        <is>
          <t>Display Name (Additional Lang 3)</t>
        </is>
      </c>
    </row>
    <row r="7">
      <c r="A7" s="6"/>
      <c r="B7" s="16"/>
      <c r="C7" s="16"/>
      <c r="D7" s="9"/>
      <c r="F7" s="16"/>
      <c r="G7" s="17"/>
    </row>
    <row r="8">
      <c r="A8" s="6"/>
      <c r="B8" s="16"/>
      <c r="C8" s="16"/>
      <c r="D8" s="9"/>
      <c r="F8" s="16"/>
      <c r="G8" s="17"/>
    </row>
    <row r="9">
      <c r="A9" s="6"/>
      <c r="B9" s="16"/>
      <c r="C9" s="16"/>
      <c r="D9" s="9"/>
      <c r="E9" s="33"/>
      <c r="F9" s="16"/>
      <c r="G9" s="17"/>
      <c r="H9" s="16"/>
      <c r="I9" s="16"/>
    </row>
    <row r="10">
      <c r="B10" s="16"/>
      <c r="C10" s="16"/>
      <c r="D10" s="9"/>
      <c r="E10" s="33"/>
      <c r="F10" s="16"/>
      <c r="G10" s="16"/>
      <c r="H10" s="16"/>
      <c r="I10" s="16"/>
    </row>
    <row r="11">
      <c r="B11" s="16"/>
      <c r="C11" s="16"/>
      <c r="D11" s="9"/>
      <c r="E11" s="33"/>
      <c r="F11" s="16"/>
      <c r="G11" s="16"/>
      <c r="H11" s="16"/>
      <c r="I11" s="16"/>
    </row>
    <row r="12">
      <c r="A12" s="6"/>
      <c r="B12" s="16"/>
      <c r="C12" s="16"/>
      <c r="D12" s="9"/>
      <c r="E12" s="33"/>
      <c r="F12" s="16"/>
      <c r="G12" s="55"/>
      <c r="H12" s="16"/>
      <c r="I12" s="16"/>
    </row>
    <row r="13">
      <c r="A13" s="6"/>
      <c r="B13" s="16"/>
      <c r="C13" s="17"/>
      <c r="D13" s="9"/>
      <c r="E13" s="33"/>
      <c r="F13" s="16"/>
      <c r="G13" s="16"/>
      <c r="H13" s="16"/>
      <c r="I13" s="16"/>
    </row>
    <row r="14">
      <c r="A14" s="6"/>
      <c r="B14" s="16"/>
      <c r="C14" s="16"/>
      <c r="D14" s="9"/>
      <c r="E14" s="33"/>
      <c r="F14" s="16"/>
      <c r="G14" s="16"/>
      <c r="H14" s="16"/>
      <c r="I14" s="16"/>
    </row>
    <row r="15">
      <c r="A15" s="42"/>
      <c r="B15" s="16"/>
      <c r="C15" s="16"/>
      <c r="D15" s="9"/>
      <c r="E15" s="33"/>
      <c r="F15" s="16"/>
      <c r="G15" s="16"/>
      <c r="H15" s="16"/>
      <c r="I15" s="16"/>
    </row>
    <row r="16">
      <c r="A16" s="42"/>
      <c r="B16" s="16"/>
      <c r="C16" s="16"/>
      <c r="D16" s="9"/>
      <c r="E16" s="33"/>
      <c r="F16" s="16"/>
      <c r="G16" s="17"/>
      <c r="H16" s="16"/>
      <c r="I16" s="16"/>
    </row>
    <row r="17">
      <c r="A17" s="6"/>
      <c r="B17" s="16"/>
      <c r="C17" s="16"/>
      <c r="D17" s="9"/>
      <c r="E17" s="33"/>
      <c r="F17" s="16"/>
      <c r="G17" s="17"/>
      <c r="H17" s="16"/>
      <c r="I17" s="16"/>
    </row>
    <row r="18">
      <c r="A18" s="6"/>
      <c r="B18" s="16"/>
      <c r="C18" s="16"/>
      <c r="D18" s="9"/>
      <c r="E18" s="33"/>
      <c r="F18" s="16"/>
      <c r="G18" s="17"/>
      <c r="H18" s="16"/>
      <c r="I18" s="16"/>
    </row>
    <row r="19">
      <c r="A19" s="6"/>
      <c r="B19" s="16"/>
      <c r="C19" s="16"/>
      <c r="D19" s="9"/>
      <c r="E19" s="33"/>
      <c r="F19" s="16"/>
      <c r="G19" s="17"/>
      <c r="H19" s="16"/>
      <c r="I19" s="16"/>
    </row>
    <row r="20">
      <c r="A20" s="6"/>
      <c r="B20" s="16"/>
      <c r="C20" s="16"/>
      <c r="D20" s="9"/>
      <c r="E20" s="33"/>
      <c r="F20" s="16"/>
      <c r="G20" s="55"/>
      <c r="H20" s="16"/>
      <c r="I20" s="16"/>
    </row>
    <row r="21" ht="16" customHeight="1" s="129">
      <c r="A21" s="6"/>
      <c r="B21" s="16"/>
      <c r="C21" s="16"/>
      <c r="D21" s="9"/>
      <c r="E21" s="33"/>
      <c r="F21" s="16"/>
      <c r="G21" s="17"/>
      <c r="H21" s="16"/>
      <c r="I21" s="16"/>
    </row>
    <row r="22">
      <c r="A22" s="6"/>
      <c r="B22" s="16"/>
      <c r="C22" s="16"/>
      <c r="D22" s="9"/>
      <c r="E22" s="33"/>
      <c r="F22" s="16"/>
      <c r="G22" s="17"/>
      <c r="H22" s="16"/>
      <c r="I22" s="16"/>
    </row>
    <row r="23">
      <c r="A23" s="6"/>
      <c r="B23" s="16"/>
      <c r="C23" s="16"/>
      <c r="D23" s="9"/>
      <c r="E23" s="33"/>
      <c r="F23" s="16"/>
      <c r="G23" s="17"/>
      <c r="H23" s="16"/>
      <c r="I23" s="16"/>
    </row>
    <row r="24">
      <c r="A24" s="6"/>
      <c r="B24" s="16"/>
      <c r="C24" s="16"/>
      <c r="D24" s="9"/>
      <c r="E24" s="33"/>
      <c r="F24" s="16"/>
      <c r="G24" s="17"/>
      <c r="H24" s="16"/>
      <c r="I24" s="16"/>
    </row>
    <row r="25">
      <c r="A25" s="6"/>
      <c r="B25" s="16"/>
      <c r="C25" s="16"/>
      <c r="D25" s="9"/>
      <c r="E25" s="33"/>
      <c r="F25" s="16"/>
      <c r="G25" s="17"/>
      <c r="H25" s="16"/>
      <c r="I25" s="16"/>
    </row>
    <row r="26">
      <c r="A26" s="6"/>
      <c r="B26" s="16"/>
      <c r="C26" s="16"/>
      <c r="D26" s="9"/>
      <c r="E26" s="33"/>
      <c r="F26" s="16"/>
      <c r="G26" s="17"/>
      <c r="H26" s="16"/>
      <c r="I26" s="16"/>
    </row>
    <row r="27">
      <c r="A27" s="6"/>
      <c r="B27" s="16"/>
      <c r="C27" s="16"/>
      <c r="D27" s="9"/>
      <c r="E27" s="33"/>
      <c r="F27" s="16"/>
      <c r="G27" s="17"/>
      <c r="H27" s="16"/>
      <c r="I27" s="16"/>
    </row>
    <row r="28">
      <c r="A28" s="6"/>
      <c r="B28" s="16"/>
      <c r="C28" s="16"/>
      <c r="D28" s="9"/>
      <c r="E28" s="33"/>
      <c r="F28" s="16"/>
      <c r="G28" s="17"/>
      <c r="H28" s="16"/>
      <c r="I28" s="16"/>
    </row>
    <row r="29">
      <c r="A29" s="6"/>
      <c r="B29" s="16"/>
      <c r="C29" s="16"/>
      <c r="D29" s="9"/>
      <c r="E29" s="33"/>
      <c r="F29" s="16"/>
      <c r="G29" s="17"/>
      <c r="H29" s="16"/>
      <c r="I29" s="16"/>
    </row>
    <row r="30">
      <c r="A30" s="6"/>
      <c r="B30" s="16"/>
      <c r="C30" s="16"/>
      <c r="D30" s="9"/>
      <c r="E30" s="33"/>
      <c r="F30" s="16"/>
      <c r="G30" s="17"/>
      <c r="H30" s="16"/>
      <c r="I30" s="16"/>
    </row>
    <row r="31">
      <c r="A31" s="42"/>
      <c r="B31" s="16"/>
      <c r="C31" s="16"/>
      <c r="D31" s="9"/>
      <c r="E31" s="33"/>
      <c r="F31" s="16"/>
      <c r="G31" s="55"/>
      <c r="H31" s="16"/>
      <c r="I31" s="16"/>
    </row>
    <row r="32">
      <c r="A32" s="42"/>
      <c r="B32" s="16"/>
      <c r="C32" s="16"/>
      <c r="D32" s="9"/>
      <c r="E32" s="33"/>
      <c r="F32" s="16"/>
      <c r="G32" s="55"/>
      <c r="H32" s="16"/>
      <c r="I32" s="16"/>
    </row>
    <row r="33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sqref="D7:D33" showErrorMessage="1" showInputMessage="1" allowBlank="1" type="list">
      <formula1>"○"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1">
    <outlinePr summaryBelow="1" summaryRight="1"/>
    <pageSetUpPr/>
  </sheetPr>
  <dimension ref="A1:AR90"/>
  <sheetViews>
    <sheetView topLeftCell="G1" zoomScaleNormal="100" zoomScaleSheetLayoutView="80" workbookViewId="0">
      <selection activeCell="R13" sqref="R13"/>
    </sheetView>
  </sheetViews>
  <sheetFormatPr baseColWidth="10" defaultColWidth="9" defaultRowHeight="15"/>
  <cols>
    <col width="39.1640625" bestFit="1" customWidth="1" style="35" min="1" max="1"/>
    <col width="27.83203125" customWidth="1" style="35" min="2" max="2"/>
    <col width="36" bestFit="1" customWidth="1" style="35" min="3" max="3"/>
    <col outlineLevel="1" width="16.5" customWidth="1" style="35" min="4" max="4"/>
    <col outlineLevel="2" width="9.5" customWidth="1" style="35" min="5" max="5"/>
    <col outlineLevel="2" width="10.83203125" customWidth="1" style="36" min="6" max="6"/>
    <col outlineLevel="2" width="11.5" customWidth="1" style="36" min="7" max="7"/>
    <col outlineLevel="2" width="8.83203125" customWidth="1" style="37" min="8" max="8"/>
    <col outlineLevel="2" width="8.33203125" customWidth="1" style="37" min="9" max="10"/>
    <col outlineLevel="2" width="8.5" customWidth="1" style="37" min="11" max="12"/>
    <col outlineLevel="2" width="9.33203125" customWidth="1" style="37" min="13" max="13"/>
    <col outlineLevel="1" width="8.5" customWidth="1" style="37" min="14" max="14"/>
    <col outlineLevel="2" width="18.33203125" customWidth="1" style="37" min="15" max="16"/>
    <col outlineLevel="2" width="29.5" customWidth="1" style="37" min="17" max="17"/>
    <col outlineLevel="2" width="24.33203125" customWidth="1" style="37" min="18" max="18"/>
    <col outlineLevel="2" width="29" customWidth="1" style="37" min="19" max="19"/>
    <col outlineLevel="2" width="18.33203125" customWidth="1" style="37" min="20" max="21"/>
    <col outlineLevel="1" width="17.1640625" customWidth="1" style="37" min="22" max="22"/>
    <col outlineLevel="2" width="9.1640625" customWidth="1" style="37" min="23" max="25"/>
    <col outlineLevel="2" width="9.1640625" customWidth="1" style="35" min="26" max="26"/>
    <col outlineLevel="2" width="9.1640625" customWidth="1" style="38" min="27" max="32"/>
    <col outlineLevel="1" width="19.33203125" customWidth="1" style="38" min="33" max="33"/>
    <col width="33.33203125" customWidth="1" style="38" min="34" max="37"/>
    <col width="9" customWidth="1" style="38" min="38" max="40"/>
    <col width="9" customWidth="1" style="38" min="41" max="16384"/>
  </cols>
  <sheetData>
    <row r="1">
      <c r="A1" s="34" t="inlineStr">
        <is>
          <t>DB Item Definition</t>
        </is>
      </c>
    </row>
    <row r="2" ht="16" customHeight="1" s="129">
      <c r="AH2" s="71" t="inlineStr">
        <is>
          <t>Default Language</t>
        </is>
      </c>
      <c r="AI2" s="71" t="inlineStr">
        <is>
          <t>Additional Language 1</t>
        </is>
      </c>
      <c r="AJ2" s="71" t="inlineStr">
        <is>
          <t>Additional Language 2</t>
        </is>
      </c>
      <c r="AK2" s="71" t="inlineStr">
        <is>
          <t>Additional Language 3</t>
        </is>
      </c>
    </row>
    <row r="3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>
      <c r="A4" s="34"/>
    </row>
    <row r="5" ht="45" customFormat="1" customHeight="1" s="40">
      <c r="A5" s="39" t="inlineStr">
        <is>
          <t>Table Name</t>
        </is>
      </c>
      <c r="B5" s="39" t="inlineStr">
        <is>
          <t>Column Name</t>
        </is>
      </c>
      <c r="C5" s="39" t="inlineStr">
        <is>
          <t>dataType</t>
        </is>
      </c>
      <c r="D5" s="72" t="inlineStr">
        <is>
          <t>dataType Check</t>
        </is>
      </c>
      <c r="E5" s="39" t="inlineStr">
        <is>
          <t>Java Only</t>
        </is>
      </c>
      <c r="F5" s="73" t="inlineStr">
        <is>
          <t xml:space="preserve">Surrogate key </t>
        </is>
      </c>
      <c r="G5" s="73" t="inlineStr">
        <is>
          <t>natural key (unique key)</t>
        </is>
      </c>
      <c r="H5" s="73" t="inlineStr">
        <is>
          <t>nullable</t>
        </is>
      </c>
      <c r="I5" s="73" t="inlineStr">
        <is>
          <t>Auto Numbering</t>
        </is>
      </c>
      <c r="J5" s="74" t="inlineStr">
        <is>
          <t>Force Numbering</t>
        </is>
      </c>
      <c r="K5" s="73" t="inlineStr">
        <is>
          <t>Auto Update</t>
        </is>
      </c>
      <c r="L5" s="74" t="inlineStr">
        <is>
          <t>Force Update</t>
        </is>
      </c>
      <c r="M5" s="74" t="inlineStr">
        <is>
          <t>Group Identifier</t>
        </is>
      </c>
      <c r="N5" s="74" t="inlineStr">
        <is>
          <t>Spring Audit</t>
        </is>
      </c>
      <c r="O5" s="74" t="inlineStr">
        <is>
          <t>Relation: Type</t>
        </is>
      </c>
      <c r="P5" s="74" t="inlineStr">
        <is>
          <t>Relation: Direction</t>
        </is>
      </c>
      <c r="Q5" s="74" t="inlineStr">
        <is>
          <t>Relation: Source Var Name</t>
        </is>
      </c>
      <c r="R5" s="74" t="inlineStr">
        <is>
          <t>Relation: Source Object Var Name</t>
        </is>
      </c>
      <c r="S5" s="74" t="inlineStr">
        <is>
          <t>Relation: Target Table</t>
        </is>
      </c>
      <c r="T5" s="74" t="inlineStr">
        <is>
          <t>Relation: Target Column</t>
        </is>
      </c>
      <c r="U5" s="74" t="inlineStr">
        <is>
          <t>Relation: Target Var Name</t>
        </is>
      </c>
      <c r="V5" s="74" t="inlineStr">
        <is>
          <t>Relation: Eager</t>
        </is>
      </c>
      <c r="W5" s="74" t="inlineStr">
        <is>
          <t>index1</t>
        </is>
      </c>
      <c r="X5" s="74" t="inlineStr">
        <is>
          <t>index2</t>
        </is>
      </c>
      <c r="Y5" s="74" t="inlineStr">
        <is>
          <t>index3</t>
        </is>
      </c>
      <c r="Z5" s="74" t="inlineStr">
        <is>
          <t>index4</t>
        </is>
      </c>
      <c r="AA5" s="74" t="inlineStr">
        <is>
          <t>index5</t>
        </is>
      </c>
      <c r="AB5" s="74" t="inlineStr">
        <is>
          <t>index6</t>
        </is>
      </c>
      <c r="AC5" s="74" t="inlineStr">
        <is>
          <t>index7</t>
        </is>
      </c>
      <c r="AD5" s="74" t="inlineStr">
        <is>
          <t>index8</t>
        </is>
      </c>
      <c r="AE5" s="74" t="inlineStr">
        <is>
          <t>index9</t>
        </is>
      </c>
      <c r="AF5" s="74" t="inlineStr">
        <is>
          <t>index10</t>
        </is>
      </c>
      <c r="AG5" s="74" t="inlineStr">
        <is>
          <t>Notes</t>
        </is>
      </c>
      <c r="AH5" s="73" t="inlineStr">
        <is>
          <t>Column Display Name (Default Lang)</t>
        </is>
      </c>
      <c r="AI5" s="75" t="inlineStr">
        <is>
          <t>Column Display Name (Additional Lang 1)</t>
        </is>
      </c>
      <c r="AJ5" s="75" t="inlineStr">
        <is>
          <t>Column Display Name (Additional Lang 2)</t>
        </is>
      </c>
      <c r="AK5" s="75" t="inlineStr">
        <is>
          <t>Column Display Name (Additional Lang 3)</t>
        </is>
      </c>
      <c r="AR5" s="41"/>
    </row>
    <row r="6" ht="14" customFormat="1" customHeight="1" s="40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ht="14" customFormat="1" customHeight="1" s="40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ht="14" customFormat="1" customHeight="1" s="40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ht="14" customFormat="1" customHeight="1" s="40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ht="14" customFormat="1" customHeight="1" s="40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ht="14" customFormat="1" customHeight="1" s="40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ht="14" customFormat="1" customHeight="1" s="40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ht="14" customFormat="1" customHeight="1" s="40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ht="14" customFormat="1" customHeight="1" s="40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ht="14" customFormat="1" customHeight="1" s="40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ht="14" customFormat="1" customHeight="1" s="40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ht="14" customFormat="1" customHeight="1" s="40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ht="14" customFormat="1" customHeight="1" s="40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ht="14" customFormat="1" customHeight="1" s="40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ht="14" customFormat="1" customHeight="1" s="40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ht="14" customFormat="1" customHeight="1" s="40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ht="14" customFormat="1" customHeight="1" s="40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ht="14" customFormat="1" customHeight="1" s="40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ht="160" customHeight="1" s="129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ht="16" customHeight="1" s="129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ht="48" customHeight="1" s="129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ht="240" customHeight="1" s="129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ht="48" customHeight="1" s="129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ht="48" customHeight="1" s="129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ht="48" customHeight="1" s="129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sqref="O6:O90" showErrorMessage="1" showInputMessage="1" allowBlank="1" type="list">
      <formula1>"@ManyToOne,@OneToOne"</formula1>
    </dataValidation>
    <dataValidation sqref="P6:P90" showErrorMessage="1" showInputMessage="1" allowBlank="1" type="list">
      <formula1>"unidirectional,bidirectional"</formula1>
    </dataValidation>
    <dataValidation sqref="V6:V90 E6:E90 G84:G90 F6:F17 F19 F21:F22 F24:F31 H6:M90 G6:G33 F33:F49 G35:G51 F51:F57 G53:G59 F59:F76 G61:G78 F78:F79 G80:G81 F81:F83 F85:F90" showErrorMessage="1" showInputMessage="1" allowBlank="1" type="list">
      <formula1>"○"</formula1>
    </dataValidation>
    <dataValidation sqref="N6:N90" showErrorMessage="1" showInputMessage="1" allowBlank="1" type="list">
      <formula1>"CB,CD,LB,LD"</formula1>
    </dataValidation>
  </dataValidations>
  <pageMargins left="0.7" right="0.7" top="0.75" bottom="0.75" header="0.3" footer="0.3"/>
  <pageSetup orientation="portrait" paperSize="9" scale="4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90"/>
  <sheetViews>
    <sheetView tabSelected="1"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/>
  <cols>
    <col width="39.1640625" bestFit="1" customWidth="1" style="35" min="1" max="1"/>
    <col width="27.83203125" customWidth="1" style="35" min="2" max="2"/>
    <col width="36" bestFit="1" customWidth="1" style="35" min="3" max="3"/>
    <col outlineLevel="1" width="16.5" customWidth="1" style="35" min="4" max="4"/>
    <col outlineLevel="2" width="9.5" customWidth="1" style="35" min="5" max="5"/>
    <col outlineLevel="2" width="10.83203125" customWidth="1" style="36" min="6" max="6"/>
    <col outlineLevel="2" width="11.5" customWidth="1" style="37" min="7" max="7"/>
    <col outlineLevel="2" width="8.83203125" customWidth="1" style="37" min="8" max="8"/>
    <col outlineLevel="2" width="8.33203125" customWidth="1" style="37" min="9" max="10"/>
    <col outlineLevel="2" width="8.5" customWidth="1" style="37" min="11" max="12"/>
    <col outlineLevel="2" width="9.33203125" customWidth="1" style="37" min="13" max="13"/>
    <col outlineLevel="1" width="8.5" customWidth="1" style="37" min="14" max="14"/>
    <col outlineLevel="2" width="18.33203125" customWidth="1" style="37" min="15" max="16"/>
    <col outlineLevel="2" width="29.5" customWidth="1" style="37" min="17" max="17"/>
    <col outlineLevel="2" width="24.33203125" customWidth="1" style="37" min="18" max="18"/>
    <col outlineLevel="2" width="29" customWidth="1" style="37" min="19" max="19"/>
    <col outlineLevel="2" width="18.33203125" customWidth="1" style="37" min="20" max="21"/>
    <col outlineLevel="1" width="17.1640625" bestFit="1" customWidth="1" style="37" min="22" max="22"/>
    <col hidden="1" outlineLevel="2" width="9.1640625" customWidth="1" style="37" min="23" max="24"/>
    <col hidden="1" outlineLevel="2" width="9.33203125" customWidth="1" style="37" min="25" max="25"/>
    <col hidden="1" outlineLevel="2" width="37.5" customWidth="1" style="35" min="26" max="26"/>
    <col hidden="1" outlineLevel="2" width="19.33203125" customWidth="1" style="38" min="27" max="32"/>
    <col outlineLevel="1" collapsed="1" width="19.33203125" customWidth="1" style="38" min="33" max="33"/>
    <col width="19.33203125" customWidth="1" style="38" min="34" max="37"/>
  </cols>
  <sheetData>
    <row r="1">
      <c r="A1" s="7" t="inlineStr">
        <is>
          <t>DB Common Item Definition</t>
        </is>
      </c>
    </row>
    <row r="2" ht="16" customHeight="1" s="129">
      <c r="AH2" s="71" t="inlineStr">
        <is>
          <t>Default Language</t>
        </is>
      </c>
      <c r="AI2" s="71" t="inlineStr">
        <is>
          <t>Additional Language 1</t>
        </is>
      </c>
      <c r="AJ2" s="71" t="inlineStr">
        <is>
          <t>Additional Language 2</t>
        </is>
      </c>
      <c r="AK2" s="71" t="inlineStr">
        <is>
          <t>Additional Language 3</t>
        </is>
      </c>
    </row>
    <row r="3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>
      <c r="A4" s="34"/>
    </row>
    <row r="5" ht="43" customFormat="1" customHeight="1" s="1">
      <c r="A5" s="101" t="inlineStr">
        <is>
          <t>Table Name</t>
        </is>
      </c>
      <c r="B5" s="39" t="inlineStr">
        <is>
          <t>Column Name</t>
        </is>
      </c>
      <c r="C5" s="39" t="inlineStr">
        <is>
          <t>dataType</t>
        </is>
      </c>
      <c r="D5" s="72" t="inlineStr">
        <is>
          <t>dataType Check</t>
        </is>
      </c>
      <c r="E5" s="39" t="inlineStr">
        <is>
          <t>Java Only</t>
        </is>
      </c>
      <c r="F5" s="73" t="inlineStr">
        <is>
          <t xml:space="preserve">Surrogate key </t>
        </is>
      </c>
      <c r="G5" s="73" t="inlineStr">
        <is>
          <t>natural key (unique key)</t>
        </is>
      </c>
      <c r="H5" s="73" t="inlineStr">
        <is>
          <t>nullable</t>
        </is>
      </c>
      <c r="I5" s="73" t="inlineStr">
        <is>
          <t>Auto Numbering</t>
        </is>
      </c>
      <c r="J5" s="74" t="inlineStr">
        <is>
          <t>Force Numbering</t>
        </is>
      </c>
      <c r="K5" s="73" t="inlineStr">
        <is>
          <t>Auto Update</t>
        </is>
      </c>
      <c r="L5" s="74" t="inlineStr">
        <is>
          <t>Force Update</t>
        </is>
      </c>
      <c r="M5" s="74" t="inlineStr">
        <is>
          <t>Group Identifier</t>
        </is>
      </c>
      <c r="N5" s="74" t="inlineStr">
        <is>
          <t>Spring Audit</t>
        </is>
      </c>
      <c r="O5" s="74" t="inlineStr">
        <is>
          <t>Relation: Type</t>
        </is>
      </c>
      <c r="P5" s="74" t="inlineStr">
        <is>
          <t>Relation: Direction</t>
        </is>
      </c>
      <c r="Q5" s="74" t="inlineStr">
        <is>
          <t>Relation: Source Var Name</t>
        </is>
      </c>
      <c r="R5" s="74" t="inlineStr">
        <is>
          <t>Relation: Source Object Var Name</t>
        </is>
      </c>
      <c r="S5" s="74" t="inlineStr">
        <is>
          <t>Relation: Target Table</t>
        </is>
      </c>
      <c r="T5" s="74" t="inlineStr">
        <is>
          <t>Relation: Target Column</t>
        </is>
      </c>
      <c r="U5" s="74" t="inlineStr">
        <is>
          <t>Relation: Target Var Name</t>
        </is>
      </c>
      <c r="V5" s="74" t="inlineStr">
        <is>
          <t>Relation: Eager</t>
        </is>
      </c>
      <c r="W5" s="107" t="inlineStr">
        <is>
          <t>index1</t>
        </is>
      </c>
      <c r="X5" s="107" t="inlineStr">
        <is>
          <t>index2</t>
        </is>
      </c>
      <c r="Y5" s="107" t="inlineStr">
        <is>
          <t>index3</t>
        </is>
      </c>
      <c r="Z5" s="107" t="inlineStr">
        <is>
          <t>index4</t>
        </is>
      </c>
      <c r="AA5" s="107" t="inlineStr">
        <is>
          <t>index5</t>
        </is>
      </c>
      <c r="AB5" s="107" t="inlineStr">
        <is>
          <t>index6</t>
        </is>
      </c>
      <c r="AC5" s="107" t="inlineStr">
        <is>
          <t>index7</t>
        </is>
      </c>
      <c r="AD5" s="107" t="inlineStr">
        <is>
          <t>index8</t>
        </is>
      </c>
      <c r="AE5" s="107" t="inlineStr">
        <is>
          <t>index9</t>
        </is>
      </c>
      <c r="AF5" s="107" t="inlineStr">
        <is>
          <t>index10</t>
        </is>
      </c>
      <c r="AG5" s="74" t="inlineStr">
        <is>
          <t>Notes</t>
        </is>
      </c>
      <c r="AH5" s="73" t="inlineStr">
        <is>
          <t>Column Display Name (Default Lang)</t>
        </is>
      </c>
      <c r="AI5" s="75" t="inlineStr">
        <is>
          <t>Column Display Name (Additional Lang 1)</t>
        </is>
      </c>
      <c r="AJ5" s="75" t="inlineStr">
        <is>
          <t>Column Display Name (Additional Lang 2)</t>
        </is>
      </c>
      <c r="AK5" s="75" t="inlineStr">
        <is>
          <t>Column Display Name (Additional Lang 3)</t>
        </is>
      </c>
    </row>
    <row r="6" customFormat="1" s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customFormat="1" s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customFormat="1" s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>
      <c r="H14" s="8"/>
    </row>
    <row r="15">
      <c r="H15" s="8"/>
    </row>
    <row r="16">
      <c r="H16" s="8"/>
    </row>
    <row r="17">
      <c r="H17" s="8"/>
    </row>
    <row r="18">
      <c r="H18" s="8"/>
    </row>
    <row r="19">
      <c r="H19" s="8"/>
    </row>
    <row r="20">
      <c r="H20" s="8"/>
    </row>
    <row r="21">
      <c r="H21" s="8"/>
    </row>
    <row r="22">
      <c r="H22" s="9"/>
    </row>
    <row r="23">
      <c r="H23" s="8"/>
    </row>
    <row r="24">
      <c r="H24" s="8"/>
    </row>
    <row r="25">
      <c r="H25" s="8"/>
    </row>
    <row r="26">
      <c r="H26" s="8"/>
    </row>
    <row r="27">
      <c r="H27" s="8"/>
    </row>
    <row r="28">
      <c r="H28" s="8"/>
    </row>
    <row r="29">
      <c r="H29" s="8" t="inlineStr">
        <is>
          <t>○</t>
        </is>
      </c>
    </row>
    <row r="30">
      <c r="H30" s="8" t="inlineStr">
        <is>
          <t>○</t>
        </is>
      </c>
    </row>
    <row r="31">
      <c r="H31" s="8"/>
    </row>
    <row r="32">
      <c r="H32" s="8"/>
    </row>
    <row r="33">
      <c r="H33" s="8"/>
    </row>
    <row r="34">
      <c r="H34" s="8"/>
    </row>
    <row r="35">
      <c r="H35" s="8"/>
    </row>
    <row r="36">
      <c r="H36" s="8" t="inlineStr">
        <is>
          <t>○</t>
        </is>
      </c>
    </row>
    <row r="37">
      <c r="H37" s="8" t="inlineStr">
        <is>
          <t>○</t>
        </is>
      </c>
    </row>
    <row r="38">
      <c r="H38" s="8" t="inlineStr">
        <is>
          <t>○</t>
        </is>
      </c>
    </row>
    <row r="39">
      <c r="H39" s="8" t="inlineStr">
        <is>
          <t>○</t>
        </is>
      </c>
    </row>
    <row r="40">
      <c r="H40" s="8"/>
    </row>
    <row r="41">
      <c r="H41" s="8"/>
    </row>
    <row r="42">
      <c r="H42" s="8"/>
    </row>
    <row r="43">
      <c r="H43" s="8" t="inlineStr">
        <is>
          <t>○</t>
        </is>
      </c>
    </row>
    <row r="44">
      <c r="H44" s="8" t="inlineStr">
        <is>
          <t>○</t>
        </is>
      </c>
    </row>
    <row r="45">
      <c r="H45" s="8" t="inlineStr">
        <is>
          <t>○</t>
        </is>
      </c>
    </row>
    <row r="46">
      <c r="H46" s="8" t="inlineStr">
        <is>
          <t>○</t>
        </is>
      </c>
    </row>
    <row r="47">
      <c r="H47" s="8" t="inlineStr">
        <is>
          <t>○</t>
        </is>
      </c>
    </row>
    <row r="48">
      <c r="H48" s="8" t="inlineStr">
        <is>
          <t>○</t>
        </is>
      </c>
    </row>
    <row r="49">
      <c r="H49" s="8"/>
    </row>
    <row r="50">
      <c r="H50" s="8"/>
    </row>
    <row r="51">
      <c r="H51" s="8"/>
    </row>
    <row r="52">
      <c r="H52" s="8"/>
    </row>
    <row r="53">
      <c r="H53" s="8"/>
    </row>
    <row r="54">
      <c r="H54" s="8" t="inlineStr">
        <is>
          <t>○</t>
        </is>
      </c>
    </row>
    <row r="55">
      <c r="H55" s="8"/>
    </row>
    <row r="56">
      <c r="H56" s="8"/>
    </row>
    <row r="57">
      <c r="H57" s="8"/>
    </row>
    <row r="58">
      <c r="H58" s="8"/>
    </row>
    <row r="59">
      <c r="H59" s="8"/>
    </row>
    <row r="60">
      <c r="H60" s="8"/>
    </row>
    <row r="61">
      <c r="H61" s="8"/>
    </row>
    <row r="62">
      <c r="H62" s="8"/>
    </row>
    <row r="63">
      <c r="H63" s="8"/>
    </row>
    <row r="64">
      <c r="H64" s="8" t="inlineStr">
        <is>
          <t>○</t>
        </is>
      </c>
    </row>
    <row r="65">
      <c r="H65" s="39"/>
    </row>
    <row r="66">
      <c r="H66" s="39"/>
    </row>
    <row r="67">
      <c r="H67" s="39"/>
    </row>
    <row r="68">
      <c r="H68" s="8"/>
    </row>
    <row r="69">
      <c r="H69" s="8"/>
    </row>
    <row r="70">
      <c r="H70" s="8"/>
    </row>
    <row r="71">
      <c r="H71" s="8"/>
    </row>
    <row r="72">
      <c r="H72" s="8"/>
    </row>
    <row r="73">
      <c r="H73" s="8" t="inlineStr">
        <is>
          <t>○</t>
        </is>
      </c>
    </row>
    <row r="74">
      <c r="H74" s="65" t="inlineStr">
        <is>
          <t>○</t>
        </is>
      </c>
    </row>
    <row r="75">
      <c r="H75" s="8" t="inlineStr">
        <is>
          <t>○</t>
        </is>
      </c>
    </row>
    <row r="76">
      <c r="H76" s="65"/>
    </row>
    <row r="77">
      <c r="H77" s="8"/>
    </row>
    <row r="78">
      <c r="H78" s="8"/>
    </row>
    <row r="79">
      <c r="H79" s="65"/>
    </row>
    <row r="80">
      <c r="H80" s="65"/>
    </row>
    <row r="81">
      <c r="H81" s="65"/>
    </row>
    <row r="82">
      <c r="H82" s="65"/>
    </row>
    <row r="83">
      <c r="H83" s="65"/>
    </row>
    <row r="84">
      <c r="H84" s="8"/>
    </row>
    <row r="85">
      <c r="H85" s="65"/>
    </row>
    <row r="86">
      <c r="H86" s="65"/>
    </row>
    <row r="87">
      <c r="H87" s="65" t="inlineStr">
        <is>
          <t>○</t>
        </is>
      </c>
    </row>
    <row r="88">
      <c r="H88" s="8"/>
    </row>
    <row r="89">
      <c r="H89" s="39"/>
    </row>
    <row r="90">
      <c r="H90" s="65"/>
    </row>
  </sheetData>
  <dataValidations count="4">
    <dataValidation sqref="N6:N13" showErrorMessage="1" showInputMessage="1" allowBlank="1" type="list">
      <formula1>"CB,CD,LB,LD"</formula1>
    </dataValidation>
    <dataValidation sqref="V6:V13 E6:E13 F6:G13 I6:M13 H6:H90" showErrorMessage="1" showInputMessage="1" allowBlank="1" type="list">
      <formula1>"○"</formula1>
    </dataValidation>
    <dataValidation sqref="O6:O13" showErrorMessage="1" showInputMessage="1" allowBlank="1" type="list">
      <formula1>"@ManyToOne,@OneToOne"</formula1>
    </dataValidation>
    <dataValidation sqref="P6:P13" showErrorMessage="1" showInputMessage="1" allowBlank="1" type="list">
      <formula1>"unidirectional,bidirectional"</formula1>
    </dataValidation>
  </dataValidations>
  <pageMargins left="0.7" right="0.7" top="0.75" bottom="0.75" header="0.3" footer="0.3"/>
  <pageSetup orientation="portrait" paperSize="9" scale="4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B29" sqref="B29"/>
    </sheetView>
  </sheetViews>
  <sheetFormatPr baseColWidth="10" defaultRowHeight="15"/>
  <cols>
    <col width="39.1640625" bestFit="1" customWidth="1" style="129" min="1" max="1"/>
    <col width="31" bestFit="1" customWidth="1" style="129" min="2" max="2"/>
    <col width="31" customWidth="1" style="129" min="3" max="4"/>
    <col width="26.33203125" bestFit="1" customWidth="1" style="129" min="5" max="5"/>
  </cols>
  <sheetData>
    <row r="1">
      <c r="A1" s="7" t="inlineStr">
        <is>
          <t>Table List</t>
        </is>
      </c>
    </row>
    <row r="2" ht="16" customHeight="1" s="129">
      <c r="B2" s="71" t="inlineStr">
        <is>
          <t>Default Language</t>
        </is>
      </c>
      <c r="C2" s="71" t="inlineStr">
        <is>
          <t>Additional Language 1</t>
        </is>
      </c>
      <c r="D2" s="71" t="inlineStr">
        <is>
          <t>Additional Language 2</t>
        </is>
      </c>
      <c r="E2" s="71" t="inlineStr">
        <is>
          <t>Additional Language 3</t>
        </is>
      </c>
    </row>
    <row r="3">
      <c r="B3" s="32" t="str">
        <f>IF('General Settings'!$G$11=0,"",'General Settings'!$G$11)</f>
        <v/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>
      <c r="A5" s="110" t="inlineStr">
        <is>
          <t>Table Name</t>
        </is>
      </c>
      <c r="B5" s="111" t="inlineStr">
        <is>
          <t>Table Display Name (Default Lang)</t>
        </is>
      </c>
      <c r="C5" s="112" t="inlineStr">
        <is>
          <t>Table Display Name (Additional Lang 1)</t>
        </is>
      </c>
      <c r="D5" s="112" t="inlineStr">
        <is>
          <t>Table Display Name (Additional Lang 2)</t>
        </is>
      </c>
      <c r="E5" s="112" t="inlineStr">
        <is>
          <t>Table Display Name (Additional Lang 3)</t>
        </is>
      </c>
    </row>
    <row r="6">
      <c r="A6" s="113">
        <f t="array" ref="A6:A17">_xlfn.UNIQUE(_xlfn._xlws.FILTER(Table7[Table Name], Table7[Table Name]&lt;&gt;""))</f>
        <v/>
      </c>
      <c r="B6" s="114"/>
      <c r="C6" s="114"/>
      <c r="D6" s="114"/>
      <c r="E6" s="115"/>
    </row>
    <row r="7">
      <c r="A7" s="116" t="inlineStr">
        <is>
          <t>ACC_ADMIN</t>
        </is>
      </c>
      <c r="B7" s="117"/>
      <c r="C7" s="117"/>
      <c r="D7" s="117"/>
      <c r="E7" s="118"/>
    </row>
    <row r="8">
      <c r="A8" s="113" t="inlineStr">
        <is>
          <t>ACC_GENERAL</t>
        </is>
      </c>
      <c r="B8" s="114"/>
      <c r="C8" s="114"/>
      <c r="D8" s="114"/>
      <c r="E8" s="115"/>
    </row>
    <row r="9">
      <c r="A9" s="116" t="inlineStr">
        <is>
          <t>AGREEMENT</t>
        </is>
      </c>
      <c r="B9" s="117"/>
      <c r="C9" s="117"/>
      <c r="D9" s="117"/>
      <c r="E9" s="118"/>
    </row>
    <row r="10">
      <c r="A10" s="113" t="inlineStr">
        <is>
          <t>ACC_AGREEMENT</t>
        </is>
      </c>
      <c r="B10" s="114"/>
      <c r="C10" s="114"/>
      <c r="D10" s="114"/>
      <c r="E10" s="115"/>
    </row>
    <row r="11">
      <c r="A11" s="116" t="inlineStr">
        <is>
          <t>MAIL_AUTH_MANAGEMENT</t>
        </is>
      </c>
      <c r="B11" s="117"/>
      <c r="C11" s="117"/>
      <c r="D11" s="117"/>
      <c r="E11" s="118"/>
    </row>
    <row r="12">
      <c r="A12" s="113" t="inlineStr">
        <is>
          <t>QIITA_USER</t>
        </is>
      </c>
      <c r="B12" s="114"/>
      <c r="C12" s="114"/>
      <c r="D12" s="114"/>
      <c r="E12" s="115"/>
    </row>
    <row r="13">
      <c r="A13" s="116" t="inlineStr">
        <is>
          <t>QIITA_GROUP</t>
        </is>
      </c>
      <c r="B13" s="117"/>
      <c r="C13" s="117"/>
      <c r="D13" s="117"/>
      <c r="E13" s="118"/>
    </row>
    <row r="14">
      <c r="A14" s="113" t="inlineStr">
        <is>
          <t>QIITA_ITEM</t>
        </is>
      </c>
      <c r="B14" s="114"/>
      <c r="C14" s="114"/>
      <c r="D14" s="114"/>
      <c r="E14" s="115"/>
    </row>
    <row r="15">
      <c r="A15" s="116" t="inlineStr">
        <is>
          <t>QIITA_TAG</t>
        </is>
      </c>
      <c r="B15" s="117"/>
      <c r="C15" s="117"/>
      <c r="D15" s="117"/>
      <c r="E15" s="118"/>
    </row>
    <row r="16">
      <c r="A16" s="113" t="inlineStr">
        <is>
          <t>QIITA_ITEM_TAG</t>
        </is>
      </c>
      <c r="B16" s="114"/>
      <c r="C16" s="114"/>
      <c r="D16" s="114"/>
      <c r="E16" s="115"/>
    </row>
    <row r="17">
      <c r="A17" s="116" t="inlineStr">
        <is>
          <t>QIITA_ITEM_TAG_VERSION</t>
        </is>
      </c>
      <c r="B17" s="117"/>
      <c r="C17" s="117"/>
      <c r="D17" s="117"/>
      <c r="E17" s="118"/>
    </row>
    <row r="18">
      <c r="A18" s="113"/>
      <c r="B18" s="114"/>
      <c r="C18" s="114"/>
      <c r="D18" s="114"/>
      <c r="E18" s="115"/>
    </row>
    <row r="19">
      <c r="A19" s="116"/>
      <c r="B19" s="117"/>
      <c r="C19" s="117"/>
      <c r="D19" s="117"/>
      <c r="E19" s="118"/>
    </row>
    <row r="20">
      <c r="A20" s="113"/>
      <c r="B20" s="114"/>
      <c r="C20" s="114"/>
      <c r="D20" s="114"/>
      <c r="E20" s="115"/>
    </row>
    <row r="21">
      <c r="A21" s="116"/>
      <c r="B21" s="117"/>
      <c r="C21" s="117"/>
      <c r="D21" s="117"/>
      <c r="E21" s="118"/>
    </row>
    <row r="22">
      <c r="A22" s="113"/>
      <c r="B22" s="114"/>
      <c r="C22" s="114"/>
      <c r="D22" s="114"/>
      <c r="E22" s="115"/>
    </row>
    <row r="23">
      <c r="A23" s="116"/>
      <c r="B23" s="117"/>
      <c r="C23" s="117"/>
      <c r="D23" s="117"/>
      <c r="E23" s="118"/>
    </row>
    <row r="24">
      <c r="A24" s="113"/>
      <c r="B24" s="114"/>
      <c r="C24" s="114"/>
      <c r="D24" s="114"/>
      <c r="E24" s="115"/>
    </row>
    <row r="25">
      <c r="A25" s="116"/>
      <c r="B25" s="117"/>
      <c r="C25" s="117"/>
      <c r="D25" s="117"/>
      <c r="E25" s="118"/>
    </row>
    <row r="26">
      <c r="A26" s="113"/>
      <c r="B26" s="114"/>
      <c r="C26" s="114"/>
      <c r="D26" s="114"/>
      <c r="E26" s="115"/>
    </row>
    <row r="27">
      <c r="A27" s="116"/>
      <c r="B27" s="117"/>
      <c r="C27" s="117"/>
      <c r="D27" s="117"/>
      <c r="E27" s="118"/>
    </row>
    <row r="28">
      <c r="A28" s="119"/>
      <c r="B28" s="108"/>
      <c r="C28" s="108"/>
      <c r="D28" s="108"/>
      <c r="E28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2026-06-28T23:21:01Z</dcterms:modified>
  <cp:lastModifiedBy>田中庸介</cp:lastModifiedBy>
</cp:coreProperties>
</file>